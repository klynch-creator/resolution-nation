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Who Does What" sheetId="2" state="visible" r:id="rId4"/>
    <sheet name="Roadmap Tasks" sheetId="3" state="visible" r:id="rId5"/>
    <sheet name="Compliance" sheetId="4" state="visible" r:id="rId6"/>
    <sheet name="App Store" sheetId="5" state="visible" r:id="rId7"/>
    <sheet name="Risks" sheetId="6" state="visible" r:id="rId8"/>
    <sheet name="How to Us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<sst xmlns="http://schemas.openxmlformats.org/spreadsheetml/2006/main" count="1247" uniqueCount="593">
  <si>
    <t xml:space="preserve">Resolution Nation — Roadmap Tracker</t>
  </si>
  <si>
    <t xml:space="preserve">Anchored to project start: 2026-06-01</t>
  </si>
  <si>
    <t xml:space="preserve">Target: first paying school by ~May 2027 (Month 12).</t>
  </si>
  <si>
    <t xml:space="preserve">Phase Summary</t>
  </si>
  <si>
    <t xml:space="preserve">Phase</t>
  </si>
  <si>
    <t xml:space="preserve">Theme</t>
  </si>
  <si>
    <t xml:space="preserve">Tasks</t>
  </si>
  <si>
    <t xml:space="preserve">Done</t>
  </si>
  <si>
    <t xml:space="preserve">In Progress</t>
  </si>
  <si>
    <t xml:space="preserve">Blocked</t>
  </si>
  <si>
    <t xml:space="preserve">Not Started</t>
  </si>
  <si>
    <t xml:space="preserve">% Done</t>
  </si>
  <si>
    <t xml:space="preserve">0</t>
  </si>
  <si>
    <t xml:space="preserve">Foundation &amp; Decisions</t>
  </si>
  <si>
    <t xml:space="preserve">1</t>
  </si>
  <si>
    <t xml:space="preserve">Compliance + Hardening</t>
  </si>
  <si>
    <t xml:space="preserve">2</t>
  </si>
  <si>
    <t xml:space="preserve">School-Ready Features</t>
  </si>
  <si>
    <t xml:space="preserve">3</t>
  </si>
  <si>
    <t xml:space="preserve">Mobile Build</t>
  </si>
  <si>
    <t xml:space="preserve">4</t>
  </si>
  <si>
    <t xml:space="preserve">Pilot + Certification</t>
  </si>
  <si>
    <t xml:space="preserve">5</t>
  </si>
  <si>
    <t xml:space="preserve">App Store Submission</t>
  </si>
  <si>
    <t xml:space="preserve">6</t>
  </si>
  <si>
    <t xml:space="preserve">First Paying School</t>
  </si>
  <si>
    <t xml:space="preserve">TOTAL</t>
  </si>
  <si>
    <t xml:space="preserve">Key Milestones</t>
  </si>
  <si>
    <t xml:space="preserve">Milestone</t>
  </si>
  <si>
    <t xml:space="preserve">Target Date</t>
  </si>
  <si>
    <t xml:space="preserve">LLC formed + iKeepSafe intake submitted</t>
  </si>
  <si>
    <t xml:space="preserve">Migration 002 in prod (security holes closed)</t>
  </si>
  <si>
    <t xml:space="preserve">Legal documents live (privacy, ToS, NY Parent BoR, DPA template)</t>
  </si>
  <si>
    <t xml:space="preserve">Google + Sign in with Apple SSO live</t>
  </si>
  <si>
    <t xml:space="preserve">Clever Secure Sync certified</t>
  </si>
  <si>
    <t xml:space="preserve">First pilot DPA signed</t>
  </si>
  <si>
    <t xml:space="preserve">Pilot kickoff (mid-September 2026)</t>
  </si>
  <si>
    <t xml:space="preserve">iOS + Android in internal testing</t>
  </si>
  <si>
    <t xml:space="preserve">WCAG 2.1 AA audit + remediation done</t>
  </si>
  <si>
    <t xml:space="preserve">Pen test report + remediation done</t>
  </si>
  <si>
    <t xml:space="preserve">iKeepSafe COPPA cert granted</t>
  </si>
  <si>
    <t xml:space="preserve">Apple App Store approval</t>
  </si>
  <si>
    <t xml:space="preserve">Google Play approval</t>
  </si>
  <si>
    <t xml:space="preserve">First signed paid contract (2027-28 school year)</t>
  </si>
  <si>
    <t xml:space="preserve">Who can do what</t>
  </si>
  <si>
    <t xml:space="preserve">Counts pulled by formula from the Roadmap Tasks sheet.</t>
  </si>
  <si>
    <t xml:space="preserve">Owner Category</t>
  </si>
  <si>
    <t xml:space="preserve">Task Count</t>
  </si>
  <si>
    <t xml:space="preserve">What it means</t>
  </si>
  <si>
    <t xml:space="preserve">Claude — fully complete</t>
  </si>
  <si>
    <t xml:space="preserve">Claude can do this start to finish. The output is a file in the repo.</t>
  </si>
  <si>
    <t xml:space="preserve">Claude (draft) → Attorney</t>
  </si>
  <si>
    <t xml:space="preserve">Claude has drafted; attorney must review before publication.</t>
  </si>
  <si>
    <t xml:space="preserve">Claude (draft) → Kaelan</t>
  </si>
  <si>
    <t xml:space="preserve">Claude has drafted; Kaelan needs to finalize, sign, or publish.</t>
  </si>
  <si>
    <t xml:space="preserve">Claude + Kaelan</t>
  </si>
  <si>
    <t xml:space="preserve">Claude scaffolds code; Kaelan deploys, integrates, or tests on a device.</t>
  </si>
  <si>
    <t xml:space="preserve">Kaelan (Claude: code support)</t>
  </si>
  <si>
    <t xml:space="preserve">Kaelan owns the external setup (Google Cloud, Apple Dev, Clever); Claude can write integration code once configured.</t>
  </si>
  <si>
    <t xml:space="preserve">Kaelan only</t>
  </si>
  <si>
    <t xml:space="preserve">Requires Kaelan's accounts, decisions, or vendor relationships. Claude cannot do this.</t>
  </si>
  <si>
    <t xml:space="preserve">Kaelan + Attorney</t>
  </si>
  <si>
    <t xml:space="preserve">Requires Kaelan's involvement plus legal review/signature.</t>
  </si>
  <si>
    <t xml:space="preserve">External vendor</t>
  </si>
  <si>
    <t xml:space="preserve">Requires a hired vendor (pen test, accessibility audit).</t>
  </si>
  <si>
    <t xml:space="preserve">Status counts</t>
  </si>
  <si>
    <t xml:space="preserve">Status</t>
  </si>
  <si>
    <t xml:space="preserve">Count</t>
  </si>
  <si>
    <t xml:space="preserve">Deferred</t>
  </si>
  <si>
    <t xml:space="preserve">What Claude completed in this session</t>
  </si>
  <si>
    <t xml:space="preserve">RN-8  — Mobile architecture decision (Capacitor) documented in roadmap.</t>
  </si>
  <si>
    <t xml:space="preserve">RN-10 — Star Store positioning brief shipped at docs/star-store-positioning.md.</t>
  </si>
  <si>
    <t xml:space="preserve">RN-14 — Student parent-invite UI at app/dashboard/student/invite-parent/page.tsx.</t>
  </si>
  <si>
    <t xml:space="preserve">RN-15 — Parent redeem UI rewritten at app/parent/link/page.tsx.</t>
  </si>
  <si>
    <t xml:space="preserve">RN-16 — Account deletion UI at app/dashboard/settings/delete-account/page.tsx.</t>
  </si>
  <si>
    <t xml:space="preserve">RN-17 — Hard-delete cron worker at app/api/cron/hard-delete-accounts/route.ts + vercel.json.</t>
  </si>
  <si>
    <t xml:space="preserve">RN-29 — Rate-limit middleware at lib/rate-limit.ts; wired into 3 public routes.</t>
  </si>
  <si>
    <t xml:space="preserve">Legal drafts under legal/ (Privacy, ToS, Children's Notice, NY Parent BoR, Sub-processors, DPA checklist).</t>
  </si>
  <si>
    <t xml:space="preserve">Migration file at supabase/migrations/002_security_hardening.sql.</t>
  </si>
  <si>
    <t xml:space="preserve">Companion API routes for parent-link (code), parent-link (redeem), account deletion.</t>
  </si>
  <si>
    <t xml:space="preserve">ID</t>
  </si>
  <si>
    <t xml:space="preserve">Category</t>
  </si>
  <si>
    <t xml:space="preserve">Task</t>
  </si>
  <si>
    <t xml:space="preserve">Owner</t>
  </si>
  <si>
    <t xml:space="preserve">Start</t>
  </si>
  <si>
    <t xml:space="preserve">Target End</t>
  </si>
  <si>
    <t xml:space="preserve">Depends On</t>
  </si>
  <si>
    <t xml:space="preserve">Notes</t>
  </si>
  <si>
    <t xml:space="preserve">RN-1</t>
  </si>
  <si>
    <t xml:space="preserve">Legal/Ops</t>
  </si>
  <si>
    <t xml:space="preserve">Form Resolution Nation LLC (NY) and register publication</t>
  </si>
  <si>
    <t xml:space="preserve">Kaelan</t>
  </si>
  <si>
    <t xml:space="preserve">~$200 plus NY publication.</t>
  </si>
  <si>
    <t xml:space="preserve">RN-2</t>
  </si>
  <si>
    <t xml:space="preserve">Open business bank account (Mercury or local)</t>
  </si>
  <si>
    <t xml:space="preserve">RN-3</t>
  </si>
  <si>
    <t xml:space="preserve">Retain ed-tech attorney (60-min scoping call)</t>
  </si>
  <si>
    <t xml:space="preserve">Find someone with NYC DOE filing experience.</t>
  </si>
  <si>
    <t xml:space="preserve">RN-4</t>
  </si>
  <si>
    <t xml:space="preserve">Infra</t>
  </si>
  <si>
    <t xml:space="preserve">Split Supabase: staging-resolutionnation + prod-resolutionnation</t>
  </si>
  <si>
    <t xml:space="preserve">Rotate service-role keys. Enable PITR on prod.</t>
  </si>
  <si>
    <t xml:space="preserve">RN-5</t>
  </si>
  <si>
    <t xml:space="preserve">GitHub org + branch protection + Dependabot + secret scanning</t>
  </si>
  <si>
    <t xml:space="preserve">RN-6</t>
  </si>
  <si>
    <t xml:space="preserve">Sentry project with PII scrubbing rules</t>
  </si>
  <si>
    <t xml:space="preserve">Kaelan (Claude: scrubbing rules)</t>
  </si>
  <si>
    <t xml:space="preserve">Claude can write Sentry beforeSend filters when project exists.</t>
  </si>
  <si>
    <t xml:space="preserve">RN-7</t>
  </si>
  <si>
    <t xml:space="preserve">Compliance</t>
  </si>
  <si>
    <t xml:space="preserve">Submit iKeepSafe COPPA Safe Harbor intake questionnaire</t>
  </si>
  <si>
    <t xml:space="preserve">Long lead time; start clock now.</t>
  </si>
  <si>
    <t xml:space="preserve">RN-8</t>
  </si>
  <si>
    <t xml:space="preserve">Product</t>
  </si>
  <si>
    <t xml:space="preserve">Decide mobile architecture (Capacitor vs Expo)</t>
  </si>
  <si>
    <t xml:space="preserve">Kaelan (Claude: recommendation locked = Capacitor)</t>
  </si>
  <si>
    <t xml:space="preserve">Decision documented in the production roadmap; Capacitor chosen.</t>
  </si>
  <si>
    <t xml:space="preserve">RN-9</t>
  </si>
  <si>
    <t xml:space="preserve">Confirm Supabase region (US East) and Anthropic data terms (zero retention)</t>
  </si>
  <si>
    <t xml:space="preserve">Both go into the sub-processor disclosure.</t>
  </si>
  <si>
    <t xml:space="preserve">RN-10</t>
  </si>
  <si>
    <t xml:space="preserve">Document Star Store positioning: stars are earned, never purchased</t>
  </si>
  <si>
    <t xml:space="preserve">Claude</t>
  </si>
  <si>
    <t xml:space="preserve">Brief shipped at docs/star-store-positioning.md.</t>
  </si>
  <si>
    <t xml:space="preserve">RN-11</t>
  </si>
  <si>
    <t xml:space="preserve">Security</t>
  </si>
  <si>
    <t xml:space="preserve">Apply 002_security_hardening.sql migration to staging</t>
  </si>
  <si>
    <t xml:space="preserve">Kaelan (Claude: 002_security_hardening.sql ready)</t>
  </si>
  <si>
    <t xml:space="preserve">Migration file authored by Claude. Kaelan applies to staging.</t>
  </si>
  <si>
    <t xml:space="preserve">RN-12</t>
  </si>
  <si>
    <t xml:space="preserve">Smoke-test new RPCs: award_stars, spend_stars, parent link, deletion</t>
  </si>
  <si>
    <t xml:space="preserve">RN-13</t>
  </si>
  <si>
    <t xml:space="preserve">Apply 002_security_hardening.sql migration to prod</t>
  </si>
  <si>
    <t xml:space="preserve">RN-14</t>
  </si>
  <si>
    <t xml:space="preserve">UI for student-generated parent invite code</t>
  </si>
  <si>
    <t xml:space="preserve">Shipped: app/dashboard/student/invite-parent/page.tsx.</t>
  </si>
  <si>
    <t xml:space="preserve">RN-15</t>
  </si>
  <si>
    <t xml:space="preserve">UI for parent enters code to link</t>
  </si>
  <si>
    <t xml:space="preserve">Shipped: app/parent/link/page.tsx (rewritten for code flow).</t>
  </si>
  <si>
    <t xml:space="preserve">RN-16</t>
  </si>
  <si>
    <t xml:space="preserve">UI for account deletion request and cancel (Settings)</t>
  </si>
  <si>
    <t xml:space="preserve">Shipped: app/dashboard/settings/delete-account/page.tsx.</t>
  </si>
  <si>
    <t xml:space="preserve">RN-17</t>
  </si>
  <si>
    <t xml:space="preserve">Scheduled job: hard-delete accounts past 30-day window</t>
  </si>
  <si>
    <t xml:space="preserve">Shipped: app/api/cron/hard-delete-accounts/route.ts + vercel.json cron config.</t>
  </si>
  <si>
    <t xml:space="preserve">RN-18</t>
  </si>
  <si>
    <t xml:space="preserve">Legal</t>
  </si>
  <si>
    <t xml:space="preserve">Privacy Policy published (covers FERPA, COPPA, CCPA, Ed Law 2-d)</t>
  </si>
  <si>
    <t xml:space="preserve">Draft at legal/privacy-policy.md. Attorney review required.</t>
  </si>
  <si>
    <t xml:space="preserve">RN-19</t>
  </si>
  <si>
    <t xml:space="preserve">Terms of Service (teacher/school + parent/student)</t>
  </si>
  <si>
    <t xml:space="preserve">Draft at legal/terms-of-service.md.</t>
  </si>
  <si>
    <t xml:space="preserve">RN-20</t>
  </si>
  <si>
    <t xml:space="preserve">Children's Privacy Notice (plain language)</t>
  </si>
  <si>
    <t xml:space="preserve">Draft at legal/childrens-privacy-notice.md.</t>
  </si>
  <si>
    <t xml:space="preserve">RN-21</t>
  </si>
  <si>
    <t xml:space="preserve">NY Parent Bill of Rights for Data Privacy and Security</t>
  </si>
  <si>
    <t xml:space="preserve">Draft at legal/ny-parent-bill-of-rights.md.</t>
  </si>
  <si>
    <t xml:space="preserve">RN-22</t>
  </si>
  <si>
    <t xml:space="preserve">DPA template from SDPC NDPA + NY Exhibit E</t>
  </si>
  <si>
    <t xml:space="preserve">Kaelan + Attorney (Claude: checklist)</t>
  </si>
  <si>
    <t xml:space="preserve">Use SDPC NDPA v1r6 + NY Exhibit E. Pre-execution checklist at legal/dpa-checklist.md.</t>
  </si>
  <si>
    <t xml:space="preserve">RN-23</t>
  </si>
  <si>
    <t xml:space="preserve">Publish sub-processor list on website</t>
  </si>
  <si>
    <t xml:space="preserve">Draft at legal/subprocessors.md. Add email/push providers once chosen.</t>
  </si>
  <si>
    <t xml:space="preserve">RN-24</t>
  </si>
  <si>
    <t xml:space="preserve">Parental consent flow: school-track + direct-to-family-track</t>
  </si>
  <si>
    <t xml:space="preserve">Claude can scaffold the consent flow; Kaelan picks the verification method.</t>
  </si>
  <si>
    <t xml:space="preserve">RN-25</t>
  </si>
  <si>
    <t xml:space="preserve">Age-gate at signup; route under-13 to parent consent if no school pod</t>
  </si>
  <si>
    <t xml:space="preserve">RN-26</t>
  </si>
  <si>
    <t xml:space="preserve">Parental data export (JSON download of child's stored data)</t>
  </si>
  <si>
    <t xml:space="preserve">RN-27</t>
  </si>
  <si>
    <t xml:space="preserve">Data minimization audit (walk every column; drop unneeded fields)</t>
  </si>
  <si>
    <t xml:space="preserve">RN-28</t>
  </si>
  <si>
    <t xml:space="preserve">Encrypt sensitive PII at application layer (names + academic data)</t>
  </si>
  <si>
    <t xml:space="preserve">Server-side key, quarterly rotation.</t>
  </si>
  <si>
    <t xml:space="preserve">RN-29</t>
  </si>
  <si>
    <t xml:space="preserve">Rate-limit all public API routes</t>
  </si>
  <si>
    <t xml:space="preserve">Shipped: lib/rate-limit.ts + applied to parent-link, code, account-delete routes. Other API routes still need it.</t>
  </si>
  <si>
    <t xml:space="preserve">RN-30</t>
  </si>
  <si>
    <t xml:space="preserve">Incident response plan + 7-day NY breach notification SOP documented</t>
  </si>
  <si>
    <t xml:space="preserve">Claude (draft) + Kaelan</t>
  </si>
  <si>
    <t xml:space="preserve">RN-31</t>
  </si>
  <si>
    <t xml:space="preserve">Scope a focused web + mobile pen test for late Phase 4</t>
  </si>
  <si>
    <t xml:space="preserve">Needs Google Cloud project + OAuth setup.</t>
  </si>
  <si>
    <t xml:space="preserve">RN-32</t>
  </si>
  <si>
    <t xml:space="preserve">Auth</t>
  </si>
  <si>
    <t xml:space="preserve">Google for Education SSO (Supabase Auth Google provider)</t>
  </si>
  <si>
    <t xml:space="preserve">Needs Apple Developer Sign In with Apple service ID.</t>
  </si>
  <si>
    <t xml:space="preserve">RN-33</t>
  </si>
  <si>
    <t xml:space="preserve">Sign in with Apple</t>
  </si>
  <si>
    <t xml:space="preserve">Needs Microsoft Entra app registration.</t>
  </si>
  <si>
    <t xml:space="preserve">RN-34</t>
  </si>
  <si>
    <t xml:space="preserve">Microsoft / Entra ID SSO</t>
  </si>
  <si>
    <t xml:space="preserve">Clever app must be registered by Kaelan; Claude can write integration code.</t>
  </si>
  <si>
    <t xml:space="preserve">RN-35</t>
  </si>
  <si>
    <t xml:space="preserve">Rostering</t>
  </si>
  <si>
    <t xml:space="preserve">Clever Secure Sync integration (SSO + roster)</t>
  </si>
  <si>
    <t xml:space="preserve">Allow 4-6 weeks for Clever app certification.</t>
  </si>
  <si>
    <t xml:space="preserve">RN-36</t>
  </si>
  <si>
    <t xml:space="preserve">ClassLink integration (post-Clever)</t>
  </si>
  <si>
    <t xml:space="preserve">RN-37</t>
  </si>
  <si>
    <t xml:space="preserve">CSV bulk roster import (fallback for non-Clever schools)</t>
  </si>
  <si>
    <t xml:space="preserve">RN-38</t>
  </si>
  <si>
    <t xml:space="preserve">Teacher dashboard (class mastery, stalled roadmaps, parents linked)</t>
  </si>
  <si>
    <t xml:space="preserve">RN-39</t>
  </si>
  <si>
    <t xml:space="preserve">Bulk student account provisioning (CSV or Clever)</t>
  </si>
  <si>
    <t xml:space="preserve">Extend migration 002 pattern; rotate invite_code on use.</t>
  </si>
  <si>
    <t xml:space="preserve">RN-40</t>
  </si>
  <si>
    <t xml:space="preserve">Rotating class invite codes (replace static pod invite_code)</t>
  </si>
  <si>
    <t xml:space="preserve">RN-41</t>
  </si>
  <si>
    <t xml:space="preserve">Teacher-initiated parent invites (inside a class context)</t>
  </si>
  <si>
    <t xml:space="preserve">RN-42</t>
  </si>
  <si>
    <t xml:space="preserve">Teacher data export for parent conferences (PDF + CSV)</t>
  </si>
  <si>
    <t xml:space="preserve">RN-43</t>
  </si>
  <si>
    <t xml:space="preserve">Student archive flow (end of year)</t>
  </si>
  <si>
    <t xml:space="preserve">RN-44</t>
  </si>
  <si>
    <t xml:space="preserve">Gift-sending guardrails (teacher visibility, optional approval)</t>
  </si>
  <si>
    <t xml:space="preserve">External a11y reviewer + Kaelan (Claude: pre-review)</t>
  </si>
  <si>
    <t xml:space="preserve">RN-45</t>
  </si>
  <si>
    <t xml:space="preserve">Accessibility</t>
  </si>
  <si>
    <t xml:space="preserve">WCAG 2.1 AA audit (color, keyboard, screen-reader, captions, motion)</t>
  </si>
  <si>
    <t xml:space="preserve">Required by ADA Title II (Apr 2026).</t>
  </si>
  <si>
    <t xml:space="preserve">RN-46</t>
  </si>
  <si>
    <t xml:space="preserve">Remediate WCAG findings</t>
  </si>
  <si>
    <t xml:space="preserve">RN-47</t>
  </si>
  <si>
    <t xml:space="preserve">AI</t>
  </si>
  <si>
    <t xml:space="preserve">Server-only Anthropic goal-generation pipeline</t>
  </si>
  <si>
    <t xml:space="preserve">PII stripped before sending.</t>
  </si>
  <si>
    <t xml:space="preserve">RN-48</t>
  </si>
  <si>
    <t xml:space="preserve">Teacher approval gate before AI goals appear in student roadmaps</t>
  </si>
  <si>
    <t xml:space="preserve">Product cannot autonomously assign goals.</t>
  </si>
  <si>
    <t xml:space="preserve">RN-49</t>
  </si>
  <si>
    <t xml:space="preserve">AI call audit log: actor, prompt summary, response summary, cost</t>
  </si>
  <si>
    <t xml:space="preserve">Surface in district review pack.</t>
  </si>
  <si>
    <t xml:space="preserve">RN-50</t>
  </si>
  <si>
    <t xml:space="preserve">Stores</t>
  </si>
  <si>
    <t xml:space="preserve">Apple Developer Program enrollment as LLC ($99/yr)</t>
  </si>
  <si>
    <t xml:space="preserve">Allow 1-2 weeks entity verification. Start D-U-N-S in parallel.</t>
  </si>
  <si>
    <t xml:space="preserve">RN-51</t>
  </si>
  <si>
    <t xml:space="preserve">Google Play Console developer account enrollment ($25)</t>
  </si>
  <si>
    <t xml:space="preserve">Claude can add Capacitor + config; Kaelan needs Xcode/Android Studio locally.</t>
  </si>
  <si>
    <t xml:space="preserve">RN-52</t>
  </si>
  <si>
    <t xml:space="preserve">Mobile</t>
  </si>
  <si>
    <t xml:space="preserve">Add Capacitor to Next.js project; configure ATS for own domains</t>
  </si>
  <si>
    <t xml:space="preserve">Claude wires plugins; Kaelan runs on device.</t>
  </si>
  <si>
    <t xml:space="preserve">RN-53</t>
  </si>
  <si>
    <t xml:space="preserve">Capacitor plugins: status bar, splash, icons, push, camera, share, in-app browser</t>
  </si>
  <si>
    <t xml:space="preserve">RN-54</t>
  </si>
  <si>
    <t xml:space="preserve">APNs + FCM push notifications wired end-to-end</t>
  </si>
  <si>
    <t xml:space="preserve">RN-55</t>
  </si>
  <si>
    <t xml:space="preserve">Universal links / app links for SSO returns</t>
  </si>
  <si>
    <t xml:space="preserve">RN-56</t>
  </si>
  <si>
    <t xml:space="preserve">Deep links: invite codes open straight to consent flow</t>
  </si>
  <si>
    <t xml:space="preserve">RN-57</t>
  </si>
  <si>
    <t xml:space="preserve">Offline state for student experience (no blank-screen failures)</t>
  </si>
  <si>
    <t xml:space="preserve">RN-58</t>
  </si>
  <si>
    <t xml:space="preserve">Remove every 3p SDK that fails Kids Category review</t>
  </si>
  <si>
    <t xml:space="preserve">No Facebook, no ad SDKs, no third-party analytics.</t>
  </si>
  <si>
    <t xml:space="preserve">RN-59</t>
  </si>
  <si>
    <t xml:space="preserve">Parental gate for any external link or share/rate prompt</t>
  </si>
  <si>
    <t xml:space="preserve">Real math gate, not a dialog.</t>
  </si>
  <si>
    <t xml:space="preserve">RN-60</t>
  </si>
  <si>
    <t xml:space="preserve">Privacy nutrition labels + Google Data Safety drafts</t>
  </si>
  <si>
    <t xml:space="preserve">Requires physical iPad + Kaelan's Apple ID.</t>
  </si>
  <si>
    <t xml:space="preserve">RN-61</t>
  </si>
  <si>
    <t xml:space="preserve">iOS build runs on real iPad in TestFlight</t>
  </si>
  <si>
    <t xml:space="preserve">Requires physical device + Kaelan's Play Console.</t>
  </si>
  <si>
    <t xml:space="preserve">RN-62</t>
  </si>
  <si>
    <t xml:space="preserve">Android build runs on Pixel + Chromebook in Internal Testing</t>
  </si>
  <si>
    <t xml:space="preserve">RN-63</t>
  </si>
  <si>
    <t xml:space="preserve">GTM</t>
  </si>
  <si>
    <t xml:space="preserve">Identify 3 pilot teachers from TEP / friendly NY schools</t>
  </si>
  <si>
    <t xml:space="preserve">RN-64</t>
  </si>
  <si>
    <t xml:space="preserve">Sign first pilot DPA (SDPC NDPA + NY Exhibit E)</t>
  </si>
  <si>
    <t xml:space="preserve">RN-22, RN-63</t>
  </si>
  <si>
    <t xml:space="preserve">RN-65</t>
  </si>
  <si>
    <t xml:space="preserve">Pilot agreement (scope, success metrics, feedback cadence)</t>
  </si>
  <si>
    <t xml:space="preserve">RN-66</t>
  </si>
  <si>
    <t xml:space="preserve">Pilot kickoff (Monday in mid-September)</t>
  </si>
  <si>
    <t xml:space="preserve">RN-64, RN-65</t>
  </si>
  <si>
    <t xml:space="preserve">RN-67</t>
  </si>
  <si>
    <t xml:space="preserve">iKeepSafe COPPA Safe Harbor — submit application package</t>
  </si>
  <si>
    <t xml:space="preserve">RN-7, RN-18</t>
  </si>
  <si>
    <t xml:space="preserve">$5k-$10k.</t>
  </si>
  <si>
    <t xml:space="preserve">RN-68</t>
  </si>
  <si>
    <t xml:space="preserve">iKeepSafe FERPA certification (bundle with COPPA if possible)</t>
  </si>
  <si>
    <t xml:space="preserve">RN-69</t>
  </si>
  <si>
    <t xml:space="preserve">NYC DOE Data Privacy &amp; Security Vendor submission</t>
  </si>
  <si>
    <t xml:space="preserve">RN-70</t>
  </si>
  <si>
    <t xml:space="preserve">Common Sense Privacy evaluation submitted</t>
  </si>
  <si>
    <t xml:space="preserve">RN-71</t>
  </si>
  <si>
    <t xml:space="preserve">SDPC directory listing once NDPA signed</t>
  </si>
  <si>
    <t xml:space="preserve">RN-72</t>
  </si>
  <si>
    <t xml:space="preserve">Penetration test commissioned</t>
  </si>
  <si>
    <t xml:space="preserve">Triage and remediation; Claude codes fixes once findings come in.</t>
  </si>
  <si>
    <t xml:space="preserve">RN-73</t>
  </si>
  <si>
    <t xml:space="preserve">Pen test findings remediated (high/critical)</t>
  </si>
  <si>
    <t xml:space="preserve">RN-74</t>
  </si>
  <si>
    <t xml:space="preserve">Security evidence pack assembled (binder for district CTOs)</t>
  </si>
  <si>
    <t xml:space="preserve">RN-75</t>
  </si>
  <si>
    <t xml:space="preserve">Ops</t>
  </si>
  <si>
    <t xml:space="preserve">Status page + uptime monitoring with paging</t>
  </si>
  <si>
    <t xml:space="preserve">Better Stack, Statuspage, or instatus.</t>
  </si>
  <si>
    <t xml:space="preserve">RN-76</t>
  </si>
  <si>
    <t xml:space="preserve">Support inbox with published SLA + auto-reply</t>
  </si>
  <si>
    <t xml:space="preserve">Claude (template) + Kaelan</t>
  </si>
  <si>
    <t xml:space="preserve">RN-77</t>
  </si>
  <si>
    <t xml:space="preserve">Public changelog / release notes page</t>
  </si>
  <si>
    <t xml:space="preserve">RN-78</t>
  </si>
  <si>
    <t xml:space="preserve">Apple App Store submission v1.0</t>
  </si>
  <si>
    <t xml:space="preserve">RN-59, RN-60</t>
  </si>
  <si>
    <t xml:space="preserve">Expect 1-3 rejection cycles.</t>
  </si>
  <si>
    <t xml:space="preserve">RN-79</t>
  </si>
  <si>
    <t xml:space="preserve">Respond to Apple review feedback; resubmit as needed</t>
  </si>
  <si>
    <t xml:space="preserve">Apple</t>
  </si>
  <si>
    <t xml:space="preserve">RN-80</t>
  </si>
  <si>
    <t xml:space="preserve">Milestone.</t>
  </si>
  <si>
    <t xml:space="preserve">RN-81</t>
  </si>
  <si>
    <t xml:space="preserve">Google Play submission v1.0 (Closed → Open → Production)</t>
  </si>
  <si>
    <t xml:space="preserve">RN-59, RN-61</t>
  </si>
  <si>
    <t xml:space="preserve">RN-82</t>
  </si>
  <si>
    <t xml:space="preserve">Designed for Families attestation submitted</t>
  </si>
  <si>
    <t xml:space="preserve">RN-83</t>
  </si>
  <si>
    <t xml:space="preserve">Respond to Google review feedback; resubmit as needed</t>
  </si>
  <si>
    <t xml:space="preserve">Google</t>
  </si>
  <si>
    <t xml:space="preserve">RN-84</t>
  </si>
  <si>
    <t xml:space="preserve">Claude (scaffold) + Kaelan</t>
  </si>
  <si>
    <t xml:space="preserve">RN-85</t>
  </si>
  <si>
    <t xml:space="preserve">Fastlane / EAS automated build pipeline for both stores</t>
  </si>
  <si>
    <t xml:space="preserve">RN-77, RN-80</t>
  </si>
  <si>
    <t xml:space="preserve">RN-86</t>
  </si>
  <si>
    <t xml:space="preserve">Versioning + rollback runbook</t>
  </si>
  <si>
    <t xml:space="preserve">RN-87</t>
  </si>
  <si>
    <t xml:space="preserve">Mid-pilot check-in (month 4 of pilot)</t>
  </si>
  <si>
    <t xml:space="preserve">RN-88</t>
  </si>
  <si>
    <t xml:space="preserve">Pilot outcome report (anonymized data + stories)</t>
  </si>
  <si>
    <t xml:space="preserve">RN-89</t>
  </si>
  <si>
    <t xml:space="preserve">Renewal conversation with pilot school (Feb 2027)</t>
  </si>
  <si>
    <t xml:space="preserve">Schools budget in spring.</t>
  </si>
  <si>
    <t xml:space="preserve">RN-90</t>
  </si>
  <si>
    <t xml:space="preserve">Signed annual contract for 2027-28 school year</t>
  </si>
  <si>
    <t xml:space="preserve">Kaelan (Claude: runbook)</t>
  </si>
  <si>
    <t xml:space="preserve">FIRST REVENUE.</t>
  </si>
  <si>
    <t xml:space="preserve">RN-91</t>
  </si>
  <si>
    <t xml:space="preserve">Backup/restore drill #1</t>
  </si>
  <si>
    <t xml:space="preserve">Quarterly thereafter.</t>
  </si>
  <si>
    <t xml:space="preserve">RN-92</t>
  </si>
  <si>
    <t xml:space="preserve">Key rotation calendar set up (service-role quarterly)</t>
  </si>
  <si>
    <t xml:space="preserve">Claude (drafts) + Kaelan</t>
  </si>
  <si>
    <t xml:space="preserve">Claude can draft all help articles.</t>
  </si>
  <si>
    <t xml:space="preserve">RN-93</t>
  </si>
  <si>
    <t xml:space="preserve">Help center: 20-30 short articles + Loom videos</t>
  </si>
  <si>
    <t xml:space="preserve">RN-94</t>
  </si>
  <si>
    <t xml:space="preserve">Monthly check-in with pilot lead teacher + principal</t>
  </si>
  <si>
    <t xml:space="preserve">RN-95</t>
  </si>
  <si>
    <t xml:space="preserve">Decide SOC 2 path (Type I now or Type II in Year 2)</t>
  </si>
  <si>
    <t xml:space="preserve">RN-96</t>
  </si>
  <si>
    <t xml:space="preserve">Choose compliance automation tool (Vanta / Drata / Secureframe)</t>
  </si>
  <si>
    <t xml:space="preserve">RN-97</t>
  </si>
  <si>
    <t xml:space="preserve">Tech Debt</t>
  </si>
  <si>
    <t xml:space="preserve">Move PDF/CSV processing into a queued worker</t>
  </si>
  <si>
    <t xml:space="preserve">RN-98</t>
  </si>
  <si>
    <t xml:space="preserve">Materialized views for teacher dashboards</t>
  </si>
  <si>
    <t xml:space="preserve">RN-99</t>
  </si>
  <si>
    <t xml:space="preserve">Split service-role surface; prefer RPCs over admin client</t>
  </si>
  <si>
    <t xml:space="preserve">RN-100</t>
  </si>
  <si>
    <t xml:space="preserve">Localization scaffolding (English; Spanish next)</t>
  </si>
  <si>
    <t xml:space="preserve">RN-101</t>
  </si>
  <si>
    <t xml:space="preserve">Insurance</t>
  </si>
  <si>
    <t xml:space="preserve">Cyber liability insurance ($1M, ~$1-3k/yr) before first paid contract</t>
  </si>
  <si>
    <t xml:space="preserve">Artifact / Cert</t>
  </si>
  <si>
    <t xml:space="preserve">Authority</t>
  </si>
  <si>
    <t xml:space="preserve">Required For</t>
  </si>
  <si>
    <t xml:space="preserve">Cost (est.)</t>
  </si>
  <si>
    <t xml:space="preserve">Evidence Location</t>
  </si>
  <si>
    <t xml:space="preserve">Privacy Policy</t>
  </si>
  <si>
    <t xml:space="preserve">Self-published</t>
  </si>
  <si>
    <t xml:space="preserve">All school sales</t>
  </si>
  <si>
    <t xml:space="preserve">$1-3k legal</t>
  </si>
  <si>
    <t xml:space="preserve">Attorney + Kaelan</t>
  </si>
  <si>
    <t xml:space="preserve">/legal/privacy</t>
  </si>
  <si>
    <t xml:space="preserve">Covers FERPA, COPPA, CCPA, NY Ed Law 2-d.</t>
  </si>
  <si>
    <t xml:space="preserve">Terms of Service</t>
  </si>
  <si>
    <t xml:space="preserve">All users</t>
  </si>
  <si>
    <t xml:space="preserve">/legal/terms</t>
  </si>
  <si>
    <t xml:space="preserve">Separate teacher/school + parent/student.</t>
  </si>
  <si>
    <t xml:space="preserve">Children's Privacy Notice</t>
  </si>
  <si>
    <t xml:space="preserve">Schools + parents</t>
  </si>
  <si>
    <t xml:space="preserve">Included in legal</t>
  </si>
  <si>
    <t xml:space="preserve">/legal/childrens-privacy</t>
  </si>
  <si>
    <t xml:space="preserve">NY Parent Bill of Rights</t>
  </si>
  <si>
    <t xml:space="preserve">NYSED</t>
  </si>
  <si>
    <t xml:space="preserve">Any NY school</t>
  </si>
  <si>
    <t xml:space="preserve">Template</t>
  </si>
  <si>
    <t xml:space="preserve">/legal/ny-parent-bill</t>
  </si>
  <si>
    <t xml:space="preserve">Ed Law 2-d §121.3.</t>
  </si>
  <si>
    <t xml:space="preserve">DPA template (SDPC NDPA + NY Exhibit E)</t>
  </si>
  <si>
    <t xml:space="preserve">SDPC + NYSED</t>
  </si>
  <si>
    <t xml:space="preserve">Every NY contract</t>
  </si>
  <si>
    <t xml:space="preserve">Attorney review $2-5k</t>
  </si>
  <si>
    <t xml:space="preserve">/legal/dpa</t>
  </si>
  <si>
    <t xml:space="preserve">Sub-processor list (Supabase, Vercel, Anthropic, Sentry...)</t>
  </si>
  <si>
    <t xml:space="preserve">All districts</t>
  </si>
  <si>
    <t xml:space="preserve">—</t>
  </si>
  <si>
    <t xml:space="preserve">/legal/subprocessors</t>
  </si>
  <si>
    <t xml:space="preserve">Parental consent flow (in-product)</t>
  </si>
  <si>
    <t xml:space="preserve">COPPA</t>
  </si>
  <si>
    <t xml:space="preserve">Direct-to-family signups</t>
  </si>
  <si>
    <t xml:space="preserve">Engineering time</t>
  </si>
  <si>
    <t xml:space="preserve">Product: signup</t>
  </si>
  <si>
    <t xml:space="preserve">Audit log (in-product)</t>
  </si>
  <si>
    <t xml:space="preserve">FERPA / Ed Law 2-d</t>
  </si>
  <si>
    <t xml:space="preserve">DB: audit_log</t>
  </si>
  <si>
    <t xml:space="preserve">Shipped in migration 002.</t>
  </si>
  <si>
    <t xml:space="preserve">Account deletion (in-product)</t>
  </si>
  <si>
    <t xml:space="preserve">Apple / Google / FERPA</t>
  </si>
  <si>
    <t xml:space="preserve">App Store + district reviews</t>
  </si>
  <si>
    <t xml:space="preserve">Settings → Delete account</t>
  </si>
  <si>
    <t xml:space="preserve">Shipped in migration 002 + /api/account/delete.</t>
  </si>
  <si>
    <t xml:space="preserve">Data export (parental access)</t>
  </si>
  <si>
    <t xml:space="preserve">Districts + parents</t>
  </si>
  <si>
    <t xml:space="preserve">Settings → Export my data</t>
  </si>
  <si>
    <t xml:space="preserve">Incident response plan</t>
  </si>
  <si>
    <t xml:space="preserve">Ed Law 2-d</t>
  </si>
  <si>
    <t xml:space="preserve">All NY districts</t>
  </si>
  <si>
    <t xml:space="preserve">Internal runbook</t>
  </si>
  <si>
    <t xml:space="preserve">7-day NY breach notification.</t>
  </si>
  <si>
    <t xml:space="preserve">Penetration test report</t>
  </si>
  <si>
    <t xml:space="preserve">Best practice + DPA asks</t>
  </si>
  <si>
    <t xml:space="preserve">Districts + iKeepSafe</t>
  </si>
  <si>
    <t xml:space="preserve">$5-15k</t>
  </si>
  <si>
    <t xml:space="preserve">Internal</t>
  </si>
  <si>
    <t xml:space="preserve">iKeepSafe COPPA Safe Harbor certification</t>
  </si>
  <si>
    <t xml:space="preserve">iKeepSafe</t>
  </si>
  <si>
    <t xml:space="preserve">$5-10k</t>
  </si>
  <si>
    <t xml:space="preserve">Cert page</t>
  </si>
  <si>
    <t xml:space="preserve">Submit intake Phase 0.</t>
  </si>
  <si>
    <t xml:space="preserve">iKeepSafe FERPA certification</t>
  </si>
  <si>
    <t xml:space="preserve">Bundle with COPPA if possible.</t>
  </si>
  <si>
    <t xml:space="preserve">NYC DOE Data Privacy submission</t>
  </si>
  <si>
    <t xml:space="preserve">NYC DOE</t>
  </si>
  <si>
    <t xml:space="preserve">Any NYC public school</t>
  </si>
  <si>
    <t xml:space="preserve">$500-1.5k attorney</t>
  </si>
  <si>
    <t xml:space="preserve">DOE portal</t>
  </si>
  <si>
    <t xml:space="preserve">VendorHotline@schools.nyc.gov.</t>
  </si>
  <si>
    <t xml:space="preserve">Common Sense Privacy evaluation</t>
  </si>
  <si>
    <t xml:space="preserve">Common Sense</t>
  </si>
  <si>
    <t xml:space="preserve">Parents + districts</t>
  </si>
  <si>
    <t xml:space="preserve">Free</t>
  </si>
  <si>
    <t xml:space="preserve">commonsense.org listing</t>
  </si>
  <si>
    <t xml:space="preserve">SDPC directory listing</t>
  </si>
  <si>
    <t xml:space="preserve">SDPC</t>
  </si>
  <si>
    <t xml:space="preserve">sdpc.a4l.org</t>
  </si>
  <si>
    <t xml:space="preserve">Requires signed NDPA first.</t>
  </si>
  <si>
    <t xml:space="preserve">VPAT (WCAG 2.1 AA conformance statement)</t>
  </si>
  <si>
    <t xml:space="preserve">Self-attested</t>
  </si>
  <si>
    <t xml:space="preserve">Districts + ADA</t>
  </si>
  <si>
    <t xml:space="preserve">$2-5k consultant</t>
  </si>
  <si>
    <t xml:space="preserve">Kaelan + a11y reviewer</t>
  </si>
  <si>
    <t xml:space="preserve">/legal/vpat</t>
  </si>
  <si>
    <t xml:space="preserve">Cyber liability insurance ($1M)</t>
  </si>
  <si>
    <t xml:space="preserve">Insurance market</t>
  </si>
  <si>
    <t xml:space="preserve">Before first paid contract</t>
  </si>
  <si>
    <t xml:space="preserve">$1-3k/yr</t>
  </si>
  <si>
    <t xml:space="preserve">Policy on file</t>
  </si>
  <si>
    <t xml:space="preserve">Required by many districts.</t>
  </si>
  <si>
    <t xml:space="preserve">SOC 2 Type I (optional Year 1)</t>
  </si>
  <si>
    <t xml:space="preserve">AICPA</t>
  </si>
  <si>
    <t xml:space="preserve">Larger districts</t>
  </si>
  <si>
    <t xml:space="preserve">$15-30k</t>
  </si>
  <si>
    <t xml:space="preserve">Auditor report</t>
  </si>
  <si>
    <t xml:space="preserve">Type II in Year 2.</t>
  </si>
  <si>
    <t xml:space="preserve">Store</t>
  </si>
  <si>
    <t xml:space="preserve">Requirement</t>
  </si>
  <si>
    <t xml:space="preserve">Account</t>
  </si>
  <si>
    <t xml:space="preserve">Apple Developer Program enrolled as LLC</t>
  </si>
  <si>
    <t xml:space="preserve">$99/yr.</t>
  </si>
  <si>
    <t xml:space="preserve">D-U-N-S number obtained</t>
  </si>
  <si>
    <t xml:space="preserve">Free; can take weeks.</t>
  </si>
  <si>
    <t xml:space="preserve">Two App Store Connect users (primary + backup)</t>
  </si>
  <si>
    <t xml:space="preserve">Avoid single-account lockout.</t>
  </si>
  <si>
    <t xml:space="preserve">Submission</t>
  </si>
  <si>
    <t xml:space="preserve">Privacy nutrition labels match code reality</t>
  </si>
  <si>
    <t xml:space="preserve">Demo account credentials (sandbox, not a real teacher)</t>
  </si>
  <si>
    <t xml:space="preserve">App Review notes explaining school context + parental consent</t>
  </si>
  <si>
    <t xml:space="preserve">Reviewers aren't edtech specialists.</t>
  </si>
  <si>
    <t xml:space="preserve">Required Feature</t>
  </si>
  <si>
    <t xml:space="preserve">In-app account deletion (Guideline 5.1.1(v))</t>
  </si>
  <si>
    <t xml:space="preserve">Shipped in /api/account/delete.</t>
  </si>
  <si>
    <t xml:space="preserve">Sign in with Apple offered (if any 3p login present)</t>
  </si>
  <si>
    <t xml:space="preserve">Kids Category</t>
  </si>
  <si>
    <t xml:space="preserve">No third-party analytics SDKs</t>
  </si>
  <si>
    <t xml:space="preserve">No behavioral advertising; declare zero tracking</t>
  </si>
  <si>
    <t xml:space="preserve">Parental gate for all external links / rate prompts</t>
  </si>
  <si>
    <t xml:space="preserve">Real math gate.</t>
  </si>
  <si>
    <t xml:space="preserve">Decide: opt into Kids Category (yes/no)</t>
  </si>
  <si>
    <t xml:space="preserve">Credibility vs. extra rules.</t>
  </si>
  <si>
    <t xml:space="preserve">Build</t>
  </si>
  <si>
    <t xml:space="preserve">Capacitor build runs on real iPad via TestFlight</t>
  </si>
  <si>
    <t xml:space="preserve">Assets</t>
  </si>
  <si>
    <t xml:space="preserve">App icons (all sizes)</t>
  </si>
  <si>
    <t xml:space="preserve">Screenshots (6.7", 6.5", 5.5", iPad 12.9")</t>
  </si>
  <si>
    <t xml:space="preserve">Promotional text + description copy</t>
  </si>
  <si>
    <t xml:space="preserve">Pipeline</t>
  </si>
  <si>
    <t xml:space="preserve">Fastlane / EAS automated build</t>
  </si>
  <si>
    <t xml:space="preserve">Phased Release configured</t>
  </si>
  <si>
    <t xml:space="preserve">Play Console developer account enrolled as LLC</t>
  </si>
  <si>
    <t xml:space="preserve">$25 one-time.</t>
  </si>
  <si>
    <t xml:space="preserve">Identity verification complete</t>
  </si>
  <si>
    <t xml:space="preserve">Required under EU rules.</t>
  </si>
  <si>
    <t xml:space="preserve">Data Safety form matches code reality</t>
  </si>
  <si>
    <t xml:space="preserve">Google audits this aggressively.</t>
  </si>
  <si>
    <t xml:space="preserve">Target SDK level current (raised every August)</t>
  </si>
  <si>
    <t xml:space="preserve">App Bundle (.aab) not APK</t>
  </si>
  <si>
    <t xml:space="preserve">64-bit support</t>
  </si>
  <si>
    <t xml:space="preserve">In-app account deletion path (User Data policy)</t>
  </si>
  <si>
    <t xml:space="preserve">Families</t>
  </si>
  <si>
    <t xml:space="preserve">Designed for Families opt-in submitted</t>
  </si>
  <si>
    <t xml:space="preserve">No third-party ad SDKs</t>
  </si>
  <si>
    <t xml:space="preserve">No behavioral analytics</t>
  </si>
  <si>
    <t xml:space="preserve">Age-appropriate content rating</t>
  </si>
  <si>
    <t xml:space="preserve">Capacitor build runs on Pixel + Chromebook (Android container)</t>
  </si>
  <si>
    <t xml:space="preserve">App icon + feature graphic</t>
  </si>
  <si>
    <t xml:space="preserve">Screenshots (phone + tablet)</t>
  </si>
  <si>
    <t xml:space="preserve">Store listing copy</t>
  </si>
  <si>
    <t xml:space="preserve">Closed → Open → Production rollout tracks configured</t>
  </si>
  <si>
    <t xml:space="preserve">#</t>
  </si>
  <si>
    <t xml:space="preserve">Risk</t>
  </si>
  <si>
    <t xml:space="preserve">Likelihood</t>
  </si>
  <si>
    <t xml:space="preserve">Impact</t>
  </si>
  <si>
    <t xml:space="preserve">Mitigation</t>
  </si>
  <si>
    <t xml:space="preserve">Review By</t>
  </si>
  <si>
    <t xml:space="preserve">R-1</t>
  </si>
  <si>
    <t xml:space="preserve">Founder burnout (solo + full-time teaching)</t>
  </si>
  <si>
    <t xml:space="preserve">High</t>
  </si>
  <si>
    <t xml:space="preserve">Severe</t>
  </si>
  <si>
    <t xml:space="preserve">Schedule summer build sprints + part-time sabbatical. Hire contract help by Month 9-12. Aggressive scope discipline.</t>
  </si>
  <si>
    <t xml:space="preserve">Open</t>
  </si>
  <si>
    <t xml:space="preserve">R-2</t>
  </si>
  <si>
    <t xml:space="preserve">App Store rejection (Kids Category) delays pilot launch</t>
  </si>
  <si>
    <t xml:space="preserve">Medium</t>
  </si>
  <si>
    <t xml:space="preserve">Design Kids Category compliance into Phase 3, not retrofit. Submit early TestFlight to surface issues.</t>
  </si>
  <si>
    <t xml:space="preserve">R-3</t>
  </si>
  <si>
    <t xml:space="preserve">iKeepSafe / NYC DOE certification slower than planned</t>
  </si>
  <si>
    <t xml:space="preserve">Moderate</t>
  </si>
  <si>
    <t xml:space="preserve">Submit intake in Phase 0/1, not Phase 4. Pilot can proceed on signed DPA before cert completes.</t>
  </si>
  <si>
    <t xml:space="preserve">R-4</t>
  </si>
  <si>
    <t xml:space="preserve">Serious finding during pen test</t>
  </si>
  <si>
    <t xml:space="preserve">Pen test before pilot expansion not before pilot start. Budget 2-3 weeks remediation. Vendor that includes remediation guidance.</t>
  </si>
  <si>
    <t xml:space="preserve">R-5</t>
  </si>
  <si>
    <t xml:space="preserve">COPPA complaint filed with FTC</t>
  </si>
  <si>
    <t xml:space="preserve">Low</t>
  </si>
  <si>
    <t xml:space="preserve">iKeepSafe Safe Harbor resolution path. Robust consent + audit log makes most complaints resolvable in writing.</t>
  </si>
  <si>
    <t xml:space="preserve">R-6</t>
  </si>
  <si>
    <t xml:space="preserve">AI costs scale faster than revenue</t>
  </si>
  <si>
    <t xml:space="preserve">Cache aggressively. Haiku for classification, Sonnet only for goal generation. Cap unit economics at $1-$2/student/year.</t>
  </si>
  <si>
    <t xml:space="preserve">R-7</t>
  </si>
  <si>
    <t xml:space="preserve">Vendor questionnaire fatigue (5+ schools at once)</t>
  </si>
  <si>
    <t xml:space="preserve">High (after M8)</t>
  </si>
  <si>
    <t xml:space="preserve">Pre-fill CASBO, NDPA Exhibit E, K-12 SIX. Single source-of-truth questionnaire bank.</t>
  </si>
  <si>
    <t xml:space="preserve">R-8</t>
  </si>
  <si>
    <t xml:space="preserve">Apple or Google policy change mid-build</t>
  </si>
  <si>
    <t xml:space="preserve">Subscribe to platform developer news. Re-audit privacy declarations before every submission.</t>
  </si>
  <si>
    <t xml:space="preserve">R-9</t>
  </si>
  <si>
    <t xml:space="preserve">Pilot teacher churns or moves before conversion</t>
  </si>
  <si>
    <t xml:space="preserve">Pilot with at least 2 teachers. Maintain principal relationship in parallel.</t>
  </si>
  <si>
    <t xml:space="preserve">R-10</t>
  </si>
  <si>
    <t xml:space="preserve">Data breach</t>
  </si>
  <si>
    <t xml:space="preserve">Layered controls: encryption, RLS, audit log, pen test, IR plan. Cyber liability insurance before first paid contract.</t>
  </si>
  <si>
    <t xml:space="preserve">How to use this workbook</t>
  </si>
  <si>
    <t xml:space="preserve">1. The Dashboard sheet is the at-a-glance view. Phase counts update automatically from the Roadmap Tasks sheet.</t>
  </si>
  <si>
    <t xml:space="preserve">2. Roadmap Tasks is the primary work surface. Status options are: Not Started, In Progress, Blocked, Done, Deferred. Colors are applied automatically.</t>
  </si>
  <si>
    <t xml:space="preserve">3. The Compliance sheet tracks every legal artifact and certification with target dates.</t>
  </si>
  <si>
    <t xml:space="preserve">4. The App Store sheet is the pre-submission checklist for Apple and Google. Work through it before each store submission.</t>
  </si>
  <si>
    <t xml:space="preserve">5. The Risks sheet is reviewed monthly. Update the Review By date and the Status as risks change.</t>
  </si>
  <si>
    <t xml:space="preserve">Dates</t>
  </si>
  <si>
    <t xml:space="preserve">All target dates are anchored to a project start of 2026-06-01. If the start slips, the cleanest approach is to shift every date by the same offset; do not recompute task-by-task.</t>
  </si>
  <si>
    <t xml:space="preserve">Phase color legend</t>
  </si>
  <si>
    <t xml:space="preserve">Phase 0 — Foundation &amp; Decisions</t>
  </si>
  <si>
    <t xml:space="preserve">Phase 1 — Compliance + Hardening</t>
  </si>
  <si>
    <t xml:space="preserve">Phase 2 — School-Ready Features</t>
  </si>
  <si>
    <t xml:space="preserve">Phase 3 — Mobile Build</t>
  </si>
  <si>
    <t xml:space="preserve">Phase 4 — Pilot + Certification</t>
  </si>
  <si>
    <t xml:space="preserve">Phase 5 — App Store Submission</t>
  </si>
  <si>
    <t xml:space="preserve">Phase 6 — First Paying School</t>
  </si>
  <si>
    <t xml:space="preserve">Companion documents</t>
  </si>
  <si>
    <t xml:space="preserve">Resolution_Nation_Production_Roadmap.docx — narrative roadmap with rationale and exit criteria.</t>
  </si>
  <si>
    <t xml:space="preserve">Resolution_Nation_GTM_Strategy.docx — market sizing, pricing, sales motion.</t>
  </si>
  <si>
    <t xml:space="preserve">CHANGES.md — security fixes applied 2026-05-25.</t>
  </si>
  <si>
    <t xml:space="preserve">The one rule</t>
  </si>
  <si>
    <t xml:space="preserve">Compliance work is the critical path to revenue. Phase 1 in green &gt; Phase 1 behind &gt; everything else.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</si>
</sst>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C2340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3"/>
      <color rgb="FF02809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11827"/>
      <name val="Calibri"/>
      <family val="0"/>
      <charset val="1"/>
    </font>
    <font>
      <b val="true"/>
      <sz val="11"/>
      <color rgb="FF111827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C2340"/>
        <bgColor rgb="FF111827"/>
      </patternFill>
    </fill>
    <fill>
      <patternFill patternType="solid">
        <fgColor rgb="FFE0F2FE"/>
        <bgColor rgb="FFE2E8F0"/>
      </patternFill>
    </fill>
    <fill>
      <patternFill patternType="solid">
        <fgColor rgb="FFFEE2E2"/>
        <bgColor rgb="FFFFE4E6"/>
      </patternFill>
    </fill>
    <fill>
      <patternFill patternType="solid">
        <fgColor rgb="FFFEF3C7"/>
        <bgColor rgb="FFFFE4E6"/>
      </patternFill>
    </fill>
    <fill>
      <patternFill patternType="solid">
        <fgColor rgb="FFDCFCE7"/>
        <bgColor rgb="FFCFFAFE"/>
      </patternFill>
    </fill>
    <fill>
      <patternFill patternType="solid">
        <fgColor rgb="FFEDE9FE"/>
        <bgColor rgb="FFE2E8F0"/>
      </patternFill>
    </fill>
    <fill>
      <patternFill patternType="solid">
        <fgColor rgb="FFFFE4E6"/>
        <bgColor rgb="FFFEE2E2"/>
      </patternFill>
    </fill>
    <fill>
      <patternFill patternType="solid">
        <fgColor rgb="FFCFFAFE"/>
        <bgColor rgb="FFDCFCE7"/>
      </patternFill>
    </fill>
    <fill>
      <patternFill patternType="solid">
        <fgColor rgb="FFE2E8F0"/>
        <bgColor rgb="FFE5E7EB"/>
      </patternFill>
    </fill>
    <fill>
      <patternFill patternType="solid">
        <fgColor rgb="FFF1F5F9"/>
        <bgColor rgb="FFEDE9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0C2340"/>
          <bgColor rgb="FF000000"/>
        </patternFill>
      </fill>
    </dxf>
    <dxf>
      <fill>
        <patternFill patternType="solid">
          <fgColor rgb="FFCFF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E4E6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BF7D0"/>
          <bgColor rgb="FF000000"/>
        </patternFill>
      </fill>
    </dxf>
    <dxf>
      <fill>
        <patternFill patternType="solid">
          <fgColor rgb="FFBFDBFE"/>
          <bgColor rgb="FF000000"/>
        </patternFill>
      </fill>
    </dxf>
    <dxf>
      <fill>
        <patternFill>
          <bgColor rgb="FFBBF7D0"/>
        </patternFill>
      </fill>
    </dxf>
    <dxf>
      <fill>
        <patternFill>
          <bgColor rgb="FFBFDBFE"/>
        </patternFill>
      </fill>
    </dxf>
    <dxf>
      <fill>
        <patternFill>
          <bgColor rgb="FFFECACA"/>
        </patternFill>
      </fill>
    </dxf>
    <dxf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1F5F9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E5E7EB"/>
      <rgbColor rgb="FF808080"/>
      <rgbColor rgb="FFEDE9FE"/>
      <rgbColor rgb="FF993366"/>
      <rgbColor rgb="FFFEF3C7"/>
      <rgbColor rgb="FFCFFAFE"/>
      <rgbColor rgb="FF660066"/>
      <rgbColor rgb="FFFF8080"/>
      <rgbColor rgb="FF0066CC"/>
      <rgbColor rgb="FFCBD5E1"/>
      <rgbColor rgb="FF000080"/>
      <rgbColor rgb="FFFF00FF"/>
      <rgbColor rgb="FFE0F2FE"/>
      <rgbColor rgb="FF00FFFF"/>
      <rgbColor rgb="FF800080"/>
      <rgbColor rgb="FF800000"/>
      <rgbColor rgb="FF008080"/>
      <rgbColor rgb="FF0000FF"/>
      <rgbColor rgb="FF00CCFF"/>
      <rgbColor rgb="FFDCFCE7"/>
      <rgbColor rgb="FFBBF7D0"/>
      <rgbColor rgb="FFFFE4E6"/>
      <rgbColor rgb="FFBFDBFE"/>
      <rgbColor rgb="FFFEE2E2"/>
      <rgbColor rgb="FFE2E8F0"/>
      <rgbColor rgb="FFFECACA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C2340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oadmapTasks" displayName="RoadmapTasks" ref="A1:J102" headerRowCount="1" totalsRowCount="0" totalsRowShown="0">
  <autoFilter ref="A1:J102"/>
  <tableColumns count="10">
    <tableColumn id="1" name="ID"/>
    <tableColumn id="2" name="Phase"/>
    <tableColumn id="3" name="Category"/>
    <tableColumn id="4" name="Task"/>
    <tableColumn id="5" name="Owner"/>
    <tableColumn id="6" name="Start"/>
    <tableColumn id="7" name="Target End"/>
    <tableColumn id="8" name="Status"/>
    <tableColumn id="9" name="Depends On"/>
    <tableColumn id="10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6.15" hidden="false" customHeight="false" outlineLevel="0" collapsed="false">
      <c r="A5" s="3" t="s">
        <v>3</v>
      </c>
    </row>
    <row r="6" customFormat="false" ht="21.75" hidden="false" customHeight="tru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customFormat="false" ht="15" hidden="false" customHeight="false" outlineLevel="0" collapsed="false">
      <c r="A7" s="5" t="s">
        <v>12</v>
      </c>
      <c r="B7" s="6" t="s">
        <v>13</v>
      </c>
      <c r="C7" s="5" t="n">
        <f aca="false">COUNTIF('Roadmap Tasks'!B2:B102,"0")</f>
        <v>10</v>
      </c>
      <c r="D7" s="5" t="n">
        <f aca="false">COUNTIFS('Roadmap Tasks'!B2:B102,"0",'Roadmap Tasks'!H2:H102,"Done")</f>
        <v>2</v>
      </c>
      <c r="E7" s="5" t="n">
        <f aca="false">COUNTIFS('Roadmap Tasks'!B2:B102,"0",'Roadmap Tasks'!H2:H102,"In Progress")</f>
        <v>0</v>
      </c>
      <c r="F7" s="5" t="n">
        <f aca="false">COUNTIFS('Roadmap Tasks'!B2:B102,"0",'Roadmap Tasks'!H2:H102,"Blocked")</f>
        <v>0</v>
      </c>
      <c r="G7" s="5" t="n">
        <f aca="false">COUNTIFS('Roadmap Tasks'!B2:B102,"0",'Roadmap Tasks'!H2:H102,"Not Started")</f>
        <v>8</v>
      </c>
      <c r="H7" s="7" t="n">
        <f aca="false">IF(C7=0,0,D7/C7)</f>
        <v>0.2</v>
      </c>
    </row>
    <row r="8" customFormat="false" ht="15" hidden="false" customHeight="false" outlineLevel="0" collapsed="false">
      <c r="A8" s="8" t="s">
        <v>14</v>
      </c>
      <c r="B8" s="9" t="s">
        <v>15</v>
      </c>
      <c r="C8" s="8" t="n">
        <f aca="false">COUNTIF('Roadmap Tasks'!B2:B102,"1")</f>
        <v>21</v>
      </c>
      <c r="D8" s="8" t="n">
        <f aca="false">COUNTIFS('Roadmap Tasks'!B2:B102,"1",'Roadmap Tasks'!H2:H102,"Done")</f>
        <v>4</v>
      </c>
      <c r="E8" s="8" t="n">
        <f aca="false">COUNTIFS('Roadmap Tasks'!B2:B102,"1",'Roadmap Tasks'!H2:H102,"In Progress")</f>
        <v>7</v>
      </c>
      <c r="F8" s="8" t="n">
        <f aca="false">COUNTIFS('Roadmap Tasks'!B2:B102,"1",'Roadmap Tasks'!H2:H102,"Blocked")</f>
        <v>0</v>
      </c>
      <c r="G8" s="8" t="n">
        <f aca="false">COUNTIFS('Roadmap Tasks'!B2:B102,"1",'Roadmap Tasks'!H2:H102,"Not Started")</f>
        <v>10</v>
      </c>
      <c r="H8" s="10" t="n">
        <f aca="false">IF(C8=0,0,D8/C8)</f>
        <v>0.19047619047619</v>
      </c>
    </row>
    <row r="9" customFormat="false" ht="15" hidden="false" customHeight="false" outlineLevel="0" collapsed="false">
      <c r="A9" s="11" t="s">
        <v>16</v>
      </c>
      <c r="B9" s="12" t="s">
        <v>17</v>
      </c>
      <c r="C9" s="11" t="n">
        <f aca="false">COUNTIF('Roadmap Tasks'!B2:B102,"2")</f>
        <v>18</v>
      </c>
      <c r="D9" s="11" t="n">
        <f aca="false">COUNTIFS('Roadmap Tasks'!B2:B102,"2",'Roadmap Tasks'!H2:H102,"Done")</f>
        <v>0</v>
      </c>
      <c r="E9" s="11" t="n">
        <f aca="false">COUNTIFS('Roadmap Tasks'!B2:B102,"2",'Roadmap Tasks'!H2:H102,"In Progress")</f>
        <v>0</v>
      </c>
      <c r="F9" s="11" t="n">
        <f aca="false">COUNTIFS('Roadmap Tasks'!B2:B102,"2",'Roadmap Tasks'!H2:H102,"Blocked")</f>
        <v>0</v>
      </c>
      <c r="G9" s="11" t="n">
        <f aca="false">COUNTIFS('Roadmap Tasks'!B2:B102,"2",'Roadmap Tasks'!H2:H102,"Not Started")</f>
        <v>18</v>
      </c>
      <c r="H9" s="13" t="n">
        <f aca="false">IF(C9=0,0,D9/C9)</f>
        <v>0</v>
      </c>
    </row>
    <row r="10" customFormat="false" ht="15" hidden="false" customHeight="false" outlineLevel="0" collapsed="false">
      <c r="A10" s="14" t="s">
        <v>18</v>
      </c>
      <c r="B10" s="15" t="s">
        <v>19</v>
      </c>
      <c r="C10" s="14" t="n">
        <f aca="false">COUNTIF('Roadmap Tasks'!B2:B102,"3")</f>
        <v>13</v>
      </c>
      <c r="D10" s="14" t="n">
        <f aca="false">COUNTIFS('Roadmap Tasks'!B2:B102,"3",'Roadmap Tasks'!H2:H102,"Done")</f>
        <v>0</v>
      </c>
      <c r="E10" s="14" t="n">
        <f aca="false">COUNTIFS('Roadmap Tasks'!B2:B102,"3",'Roadmap Tasks'!H2:H102,"In Progress")</f>
        <v>0</v>
      </c>
      <c r="F10" s="14" t="n">
        <f aca="false">COUNTIFS('Roadmap Tasks'!B2:B102,"3",'Roadmap Tasks'!H2:H102,"Blocked")</f>
        <v>0</v>
      </c>
      <c r="G10" s="14" t="n">
        <f aca="false">COUNTIFS('Roadmap Tasks'!B2:B102,"3",'Roadmap Tasks'!H2:H102,"Not Started")</f>
        <v>13</v>
      </c>
      <c r="H10" s="16" t="n">
        <f aca="false">IF(C10=0,0,D10/C10)</f>
        <v>0</v>
      </c>
    </row>
    <row r="11" customFormat="false" ht="15" hidden="false" customHeight="false" outlineLevel="0" collapsed="false">
      <c r="A11" s="17" t="s">
        <v>20</v>
      </c>
      <c r="B11" s="18" t="s">
        <v>21</v>
      </c>
      <c r="C11" s="17" t="n">
        <f aca="false">COUNTIF('Roadmap Tasks'!B2:B102,"4")</f>
        <v>15</v>
      </c>
      <c r="D11" s="17" t="n">
        <f aca="false">COUNTIFS('Roadmap Tasks'!B2:B102,"4",'Roadmap Tasks'!H2:H102,"Done")</f>
        <v>0</v>
      </c>
      <c r="E11" s="17" t="n">
        <f aca="false">COUNTIFS('Roadmap Tasks'!B2:B102,"4",'Roadmap Tasks'!H2:H102,"In Progress")</f>
        <v>0</v>
      </c>
      <c r="F11" s="17" t="n">
        <f aca="false">COUNTIFS('Roadmap Tasks'!B2:B102,"4",'Roadmap Tasks'!H2:H102,"Blocked")</f>
        <v>0</v>
      </c>
      <c r="G11" s="17" t="n">
        <f aca="false">COUNTIFS('Roadmap Tasks'!B2:B102,"4",'Roadmap Tasks'!H2:H102,"Not Started")</f>
        <v>15</v>
      </c>
      <c r="H11" s="19" t="n">
        <f aca="false">IF(C11=0,0,D11/C11)</f>
        <v>0</v>
      </c>
    </row>
    <row r="12" customFormat="false" ht="15" hidden="false" customHeight="false" outlineLevel="0" collapsed="false">
      <c r="A12" s="20" t="s">
        <v>22</v>
      </c>
      <c r="B12" s="21" t="s">
        <v>23</v>
      </c>
      <c r="C12" s="20" t="n">
        <f aca="false">COUNTIF('Roadmap Tasks'!B2:B102,"5")</f>
        <v>9</v>
      </c>
      <c r="D12" s="20" t="n">
        <f aca="false">COUNTIFS('Roadmap Tasks'!B2:B102,"5",'Roadmap Tasks'!H2:H102,"Done")</f>
        <v>0</v>
      </c>
      <c r="E12" s="20" t="n">
        <f aca="false">COUNTIFS('Roadmap Tasks'!B2:B102,"5",'Roadmap Tasks'!H2:H102,"In Progress")</f>
        <v>0</v>
      </c>
      <c r="F12" s="20" t="n">
        <f aca="false">COUNTIFS('Roadmap Tasks'!B2:B102,"5",'Roadmap Tasks'!H2:H102,"Blocked")</f>
        <v>0</v>
      </c>
      <c r="G12" s="20" t="n">
        <f aca="false">COUNTIFS('Roadmap Tasks'!B2:B102,"5",'Roadmap Tasks'!H2:H102,"Not Started")</f>
        <v>9</v>
      </c>
      <c r="H12" s="22" t="n">
        <f aca="false">IF(C12=0,0,D12/C12)</f>
        <v>0</v>
      </c>
    </row>
    <row r="13" customFormat="false" ht="15" hidden="false" customHeight="false" outlineLevel="0" collapsed="false">
      <c r="A13" s="23" t="s">
        <v>24</v>
      </c>
      <c r="B13" s="24" t="s">
        <v>25</v>
      </c>
      <c r="C13" s="23" t="n">
        <f aca="false">COUNTIF('Roadmap Tasks'!B2:B102,"6")</f>
        <v>15</v>
      </c>
      <c r="D13" s="23" t="n">
        <f aca="false">COUNTIFS('Roadmap Tasks'!B2:B102,"6",'Roadmap Tasks'!H2:H102,"Done")</f>
        <v>0</v>
      </c>
      <c r="E13" s="23" t="n">
        <f aca="false">COUNTIFS('Roadmap Tasks'!B2:B102,"6",'Roadmap Tasks'!H2:H102,"In Progress")</f>
        <v>0</v>
      </c>
      <c r="F13" s="23" t="n">
        <f aca="false">COUNTIFS('Roadmap Tasks'!B2:B102,"6",'Roadmap Tasks'!H2:H102,"Blocked")</f>
        <v>0</v>
      </c>
      <c r="G13" s="23" t="n">
        <f aca="false">COUNTIFS('Roadmap Tasks'!B2:B102,"6",'Roadmap Tasks'!H2:H102,"Not Started")</f>
        <v>15</v>
      </c>
      <c r="H13" s="25" t="n">
        <f aca="false">IF(C13=0,0,D13/C13)</f>
        <v>0</v>
      </c>
    </row>
    <row r="14" customFormat="false" ht="15" hidden="false" customHeight="false" outlineLevel="0" collapsed="false">
      <c r="A14" s="26" t="s">
        <v>26</v>
      </c>
      <c r="B14" s="26"/>
      <c r="C14" s="26" t="n">
        <f aca="false">SUM(C7:C13)</f>
        <v>101</v>
      </c>
      <c r="D14" s="26" t="n">
        <f aca="false">SUM(D7:D13)</f>
        <v>6</v>
      </c>
      <c r="E14" s="26" t="n">
        <f aca="false">SUM(E7:E13)</f>
        <v>7</v>
      </c>
      <c r="F14" s="26" t="n">
        <f aca="false">SUM(F7:F13)</f>
        <v>0</v>
      </c>
      <c r="G14" s="26" t="n">
        <f aca="false">SUM(G7:G13)</f>
        <v>88</v>
      </c>
      <c r="H14" s="27" t="n">
        <f aca="false">IF(C14=0,0,D14/C14)</f>
        <v>0.0594059405940594</v>
      </c>
    </row>
    <row r="16" customFormat="false" ht="16.15" hidden="false" customHeight="false" outlineLevel="0" collapsed="false">
      <c r="A16" s="3" t="s">
        <v>27</v>
      </c>
    </row>
    <row r="17" customFormat="false" ht="15" hidden="false" customHeight="false" outlineLevel="0" collapsed="false">
      <c r="A17" s="4" t="s">
        <v>28</v>
      </c>
      <c r="B17" s="4" t="s">
        <v>29</v>
      </c>
      <c r="C17" s="4" t="s">
        <v>4</v>
      </c>
    </row>
    <row r="18" customFormat="false" ht="15" hidden="false" customHeight="false" outlineLevel="0" collapsed="false">
      <c r="A18" s="6" t="s">
        <v>30</v>
      </c>
      <c r="B18" s="28" t="n">
        <v>46188</v>
      </c>
      <c r="C18" s="5" t="s">
        <v>12</v>
      </c>
    </row>
    <row r="19" customFormat="false" ht="15" hidden="false" customHeight="false" outlineLevel="0" collapsed="false">
      <c r="A19" s="9" t="s">
        <v>31</v>
      </c>
      <c r="B19" s="29" t="n">
        <v>46209</v>
      </c>
      <c r="C19" s="8" t="s">
        <v>14</v>
      </c>
    </row>
    <row r="20" customFormat="false" ht="23.85" hidden="false" customHeight="false" outlineLevel="0" collapsed="false">
      <c r="A20" s="9" t="s">
        <v>32</v>
      </c>
      <c r="B20" s="29" t="n">
        <v>46244</v>
      </c>
      <c r="C20" s="8" t="s">
        <v>14</v>
      </c>
    </row>
    <row r="21" customFormat="false" ht="15" hidden="false" customHeight="false" outlineLevel="0" collapsed="false">
      <c r="A21" s="12" t="s">
        <v>33</v>
      </c>
      <c r="B21" s="30" t="n">
        <v>46258</v>
      </c>
      <c r="C21" s="11" t="s">
        <v>16</v>
      </c>
    </row>
    <row r="22" customFormat="false" ht="15" hidden="false" customHeight="false" outlineLevel="0" collapsed="false">
      <c r="A22" s="12" t="s">
        <v>34</v>
      </c>
      <c r="B22" s="30" t="n">
        <v>46293</v>
      </c>
      <c r="C22" s="11" t="s">
        <v>16</v>
      </c>
    </row>
    <row r="23" customFormat="false" ht="15" hidden="false" customHeight="false" outlineLevel="0" collapsed="false">
      <c r="A23" s="18" t="s">
        <v>35</v>
      </c>
      <c r="B23" s="31" t="n">
        <v>46328</v>
      </c>
      <c r="C23" s="17" t="s">
        <v>20</v>
      </c>
    </row>
    <row r="24" customFormat="false" ht="15" hidden="false" customHeight="false" outlineLevel="0" collapsed="false">
      <c r="A24" s="18" t="s">
        <v>36</v>
      </c>
      <c r="B24" s="31" t="n">
        <v>46279</v>
      </c>
      <c r="C24" s="17" t="s">
        <v>20</v>
      </c>
    </row>
    <row r="25" customFormat="false" ht="15" hidden="false" customHeight="false" outlineLevel="0" collapsed="false">
      <c r="A25" s="15" t="s">
        <v>37</v>
      </c>
      <c r="B25" s="32" t="n">
        <v>46342</v>
      </c>
      <c r="C25" s="14" t="s">
        <v>18</v>
      </c>
    </row>
    <row r="26" customFormat="false" ht="15" hidden="false" customHeight="false" outlineLevel="0" collapsed="false">
      <c r="A26" s="12" t="s">
        <v>38</v>
      </c>
      <c r="B26" s="30" t="n">
        <v>46328</v>
      </c>
      <c r="C26" s="11" t="s">
        <v>16</v>
      </c>
    </row>
    <row r="27" customFormat="false" ht="15" hidden="false" customHeight="false" outlineLevel="0" collapsed="false">
      <c r="A27" s="18" t="s">
        <v>39</v>
      </c>
      <c r="B27" s="31" t="n">
        <v>46384</v>
      </c>
      <c r="C27" s="17" t="s">
        <v>20</v>
      </c>
    </row>
    <row r="28" customFormat="false" ht="15" hidden="false" customHeight="false" outlineLevel="0" collapsed="false">
      <c r="A28" s="18" t="s">
        <v>40</v>
      </c>
      <c r="B28" s="31" t="n">
        <v>46370</v>
      </c>
      <c r="C28" s="17" t="s">
        <v>20</v>
      </c>
    </row>
    <row r="29" customFormat="false" ht="15" hidden="false" customHeight="false" outlineLevel="0" collapsed="false">
      <c r="A29" s="21" t="s">
        <v>41</v>
      </c>
      <c r="B29" s="33" t="n">
        <v>46454</v>
      </c>
      <c r="C29" s="20" t="s">
        <v>22</v>
      </c>
    </row>
    <row r="30" customFormat="false" ht="15" hidden="false" customHeight="false" outlineLevel="0" collapsed="false">
      <c r="A30" s="21" t="s">
        <v>42</v>
      </c>
      <c r="B30" s="33" t="n">
        <v>46454</v>
      </c>
      <c r="C30" s="20" t="s">
        <v>22</v>
      </c>
    </row>
    <row r="31" customFormat="false" ht="15" hidden="false" customHeight="false" outlineLevel="0" collapsed="false">
      <c r="A31" s="24" t="s">
        <v>43</v>
      </c>
      <c r="B31" s="34" t="n">
        <v>46496</v>
      </c>
      <c r="C31" s="2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22.05" hidden="false" customHeight="false" outlineLevel="0" collapsed="false">
      <c r="A1" s="35" t="s">
        <v>44</v>
      </c>
      <c r="B1" s="35"/>
      <c r="C1" s="35"/>
    </row>
    <row r="2" customFormat="false" ht="15" hidden="false" customHeight="false" outlineLevel="0" collapsed="false">
      <c r="A2" s="36" t="s">
        <v>45</v>
      </c>
      <c r="B2" s="36"/>
      <c r="C2" s="36"/>
    </row>
    <row r="4" customFormat="false" ht="24" hidden="false" customHeight="true" outlineLevel="0" collapsed="false">
      <c r="A4" s="4" t="s">
        <v>46</v>
      </c>
      <c r="B4" s="4" t="s">
        <v>47</v>
      </c>
      <c r="C4" s="4" t="s">
        <v>48</v>
      </c>
    </row>
    <row r="5" customFormat="false" ht="15" hidden="false" customHeight="false" outlineLevel="0" collapsed="false">
      <c r="A5" s="37" t="s">
        <v>49</v>
      </c>
      <c r="B5" s="38" t="n">
        <f aca="false">COUNTIF('Roadmap Tasks'!E2:E102,"Claude")</f>
        <v>25</v>
      </c>
      <c r="C5" s="37" t="s">
        <v>50</v>
      </c>
    </row>
    <row r="6" customFormat="false" ht="15" hidden="false" customHeight="false" outlineLevel="0" collapsed="false">
      <c r="A6" s="39" t="s">
        <v>51</v>
      </c>
      <c r="B6" s="40" t="n">
        <f aca="false">COUNTIF('Roadmap Tasks'!E2:E102,"*Claude (draft) → Attorney*")</f>
        <v>4</v>
      </c>
      <c r="C6" s="39" t="s">
        <v>52</v>
      </c>
    </row>
    <row r="7" customFormat="false" ht="15" hidden="false" customHeight="false" outlineLevel="0" collapsed="false">
      <c r="A7" s="37" t="s">
        <v>53</v>
      </c>
      <c r="B7" s="38" t="n">
        <f aca="false">COUNTIF('Roadmap Tasks'!E2:E102,"*Claude (draft) → Kaelan*")</f>
        <v>1</v>
      </c>
      <c r="C7" s="37" t="s">
        <v>54</v>
      </c>
    </row>
    <row r="8" customFormat="false" ht="15" hidden="false" customHeight="false" outlineLevel="0" collapsed="false">
      <c r="A8" s="39" t="s">
        <v>55</v>
      </c>
      <c r="B8" s="40" t="n">
        <f aca="false">COUNTIF('Roadmap Tasks'!E2:E102,"*Claude + Kaelan*")</f>
        <v>11</v>
      </c>
      <c r="C8" s="39" t="s">
        <v>56</v>
      </c>
    </row>
    <row r="9" customFormat="false" ht="23.85" hidden="false" customHeight="false" outlineLevel="0" collapsed="false">
      <c r="A9" s="37" t="s">
        <v>57</v>
      </c>
      <c r="B9" s="38" t="n">
        <f aca="false">COUNTIF('Roadmap Tasks'!E2:E102,"*Claude: code support*")</f>
        <v>5</v>
      </c>
      <c r="C9" s="37" t="s">
        <v>58</v>
      </c>
    </row>
    <row r="10" customFormat="false" ht="23.85" hidden="false" customHeight="false" outlineLevel="0" collapsed="false">
      <c r="A10" s="39" t="s">
        <v>59</v>
      </c>
      <c r="B10" s="40" t="n">
        <f aca="false">COUNTIF('Roadmap Tasks'!E2:E102,"Kaelan")</f>
        <v>33</v>
      </c>
      <c r="C10" s="39" t="s">
        <v>60</v>
      </c>
    </row>
    <row r="11" customFormat="false" ht="15" hidden="false" customHeight="false" outlineLevel="0" collapsed="false">
      <c r="A11" s="37" t="s">
        <v>61</v>
      </c>
      <c r="B11" s="38" t="n">
        <f aca="false">COUNTIF('Roadmap Tasks'!E2:E102,"*Kaelan + Attorney*")</f>
        <v>3</v>
      </c>
      <c r="C11" s="37" t="s">
        <v>62</v>
      </c>
    </row>
    <row r="12" customFormat="false" ht="15" hidden="false" customHeight="false" outlineLevel="0" collapsed="false">
      <c r="A12" s="39" t="s">
        <v>63</v>
      </c>
      <c r="B12" s="40" t="n">
        <f aca="false">COUNTIF('Roadmap Tasks'!E2:E102,"*External vendor*")</f>
        <v>1</v>
      </c>
      <c r="C12" s="39" t="s">
        <v>64</v>
      </c>
    </row>
    <row r="14" customFormat="false" ht="16.15" hidden="false" customHeight="false" outlineLevel="0" collapsed="false">
      <c r="A14" s="3" t="s">
        <v>65</v>
      </c>
    </row>
    <row r="15" customFormat="false" ht="15" hidden="false" customHeight="false" outlineLevel="0" collapsed="false">
      <c r="A15" s="4" t="s">
        <v>66</v>
      </c>
      <c r="B15" s="4" t="s">
        <v>67</v>
      </c>
    </row>
    <row r="16" customFormat="false" ht="15" hidden="false" customHeight="false" outlineLevel="0" collapsed="false">
      <c r="A16" s="39" t="s">
        <v>7</v>
      </c>
      <c r="B16" s="40" t="n">
        <f aca="false">COUNTIF('Roadmap Tasks'!H2:H102,"Done")</f>
        <v>6</v>
      </c>
    </row>
    <row r="17" customFormat="false" ht="15" hidden="false" customHeight="false" outlineLevel="0" collapsed="false">
      <c r="A17" s="37" t="s">
        <v>8</v>
      </c>
      <c r="B17" s="38" t="n">
        <f aca="false">COUNTIF('Roadmap Tasks'!H2:H102,"In Progress")</f>
        <v>7</v>
      </c>
    </row>
    <row r="18" customFormat="false" ht="15" hidden="false" customHeight="false" outlineLevel="0" collapsed="false">
      <c r="A18" s="39" t="s">
        <v>9</v>
      </c>
      <c r="B18" s="40" t="n">
        <f aca="false">COUNTIF('Roadmap Tasks'!H2:H102,"Blocked")</f>
        <v>0</v>
      </c>
    </row>
    <row r="19" customFormat="false" ht="15" hidden="false" customHeight="false" outlineLevel="0" collapsed="false">
      <c r="A19" s="37" t="s">
        <v>10</v>
      </c>
      <c r="B19" s="38" t="n">
        <f aca="false">COUNTIF('Roadmap Tasks'!H2:H102,"Not Started")</f>
        <v>88</v>
      </c>
    </row>
    <row r="20" customFormat="false" ht="15" hidden="false" customHeight="false" outlineLevel="0" collapsed="false">
      <c r="A20" s="39" t="s">
        <v>68</v>
      </c>
      <c r="B20" s="40" t="n">
        <f aca="false">COUNTIF('Roadmap Tasks'!H2:H102,"Deferred")</f>
        <v>0</v>
      </c>
    </row>
    <row r="22" customFormat="false" ht="16.15" hidden="false" customHeight="false" outlineLevel="0" collapsed="false">
      <c r="A22" s="3" t="s">
        <v>69</v>
      </c>
    </row>
    <row r="23" customFormat="false" ht="23.85" hidden="false" customHeight="false" outlineLevel="0" collapsed="false">
      <c r="A23" s="41" t="s">
        <v>70</v>
      </c>
    </row>
    <row r="24" customFormat="false" ht="23.85" hidden="false" customHeight="false" outlineLevel="0" collapsed="false">
      <c r="A24" s="41" t="s">
        <v>71</v>
      </c>
    </row>
    <row r="25" customFormat="false" ht="35.05" hidden="false" customHeight="false" outlineLevel="0" collapsed="false">
      <c r="A25" s="41" t="s">
        <v>72</v>
      </c>
    </row>
    <row r="26" customFormat="false" ht="23.85" hidden="false" customHeight="false" outlineLevel="0" collapsed="false">
      <c r="A26" s="41" t="s">
        <v>73</v>
      </c>
    </row>
    <row r="27" customFormat="false" ht="35.05" hidden="false" customHeight="false" outlineLevel="0" collapsed="false">
      <c r="A27" s="41" t="s">
        <v>74</v>
      </c>
    </row>
    <row r="28" customFormat="false" ht="35.05" hidden="false" customHeight="false" outlineLevel="0" collapsed="false">
      <c r="A28" s="41" t="s">
        <v>75</v>
      </c>
    </row>
    <row r="29" customFormat="false" ht="23.85" hidden="false" customHeight="false" outlineLevel="0" collapsed="false">
      <c r="A29" s="41" t="s">
        <v>76</v>
      </c>
    </row>
    <row r="30" customFormat="false" ht="35.05" hidden="false" customHeight="false" outlineLevel="0" collapsed="false">
      <c r="A30" s="41" t="s">
        <v>77</v>
      </c>
    </row>
    <row r="31" customFormat="false" ht="35.05" hidden="false" customHeight="false" outlineLevel="0" collapsed="false">
      <c r="A31" s="41" t="s">
        <v>78</v>
      </c>
    </row>
    <row r="32" customFormat="false" ht="35.05" hidden="false" customHeight="false" outlineLevel="0" collapsed="false">
      <c r="A32" s="41" t="s">
        <v>79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50"/>
  </cols>
  <sheetData>
    <row r="1" customFormat="false" ht="24" hidden="false" customHeight="true" outlineLevel="0" collapsed="false">
      <c r="A1" s="4" t="s">
        <v>80</v>
      </c>
      <c r="B1" s="4" t="s">
        <v>4</v>
      </c>
      <c r="C1" s="4" t="s">
        <v>81</v>
      </c>
      <c r="D1" s="4" t="s">
        <v>82</v>
      </c>
      <c r="E1" s="4" t="s">
        <v>83</v>
      </c>
      <c r="F1" s="4" t="s">
        <v>84</v>
      </c>
      <c r="G1" s="4" t="s">
        <v>85</v>
      </c>
      <c r="H1" s="4" t="s">
        <v>66</v>
      </c>
      <c r="I1" s="4" t="s">
        <v>86</v>
      </c>
      <c r="J1" s="4" t="s">
        <v>87</v>
      </c>
    </row>
    <row r="2" customFormat="false" ht="15" hidden="false" customHeight="false" outlineLevel="0" collapsed="false">
      <c r="A2" s="6" t="s">
        <v>88</v>
      </c>
      <c r="B2" s="5" t="s">
        <v>12</v>
      </c>
      <c r="C2" s="6" t="s">
        <v>89</v>
      </c>
      <c r="D2" s="6" t="s">
        <v>90</v>
      </c>
      <c r="E2" s="6" t="s">
        <v>91</v>
      </c>
      <c r="F2" s="42" t="n">
        <v>46174</v>
      </c>
      <c r="G2" s="42" t="n">
        <v>46188</v>
      </c>
      <c r="H2" s="5" t="s">
        <v>10</v>
      </c>
      <c r="I2" s="6"/>
      <c r="J2" s="6" t="s">
        <v>92</v>
      </c>
    </row>
    <row r="3" customFormat="false" ht="15" hidden="false" customHeight="false" outlineLevel="0" collapsed="false">
      <c r="A3" s="6" t="s">
        <v>93</v>
      </c>
      <c r="B3" s="5" t="s">
        <v>12</v>
      </c>
      <c r="C3" s="6" t="s">
        <v>89</v>
      </c>
      <c r="D3" s="6" t="s">
        <v>94</v>
      </c>
      <c r="E3" s="6" t="s">
        <v>91</v>
      </c>
      <c r="F3" s="42" t="n">
        <v>46174</v>
      </c>
      <c r="G3" s="42" t="n">
        <v>46188</v>
      </c>
      <c r="H3" s="5" t="s">
        <v>10</v>
      </c>
      <c r="I3" s="6" t="s">
        <v>88</v>
      </c>
      <c r="J3" s="6"/>
    </row>
    <row r="4" customFormat="false" ht="15" hidden="false" customHeight="false" outlineLevel="0" collapsed="false">
      <c r="A4" s="6" t="s">
        <v>95</v>
      </c>
      <c r="B4" s="5" t="s">
        <v>12</v>
      </c>
      <c r="C4" s="6" t="s">
        <v>89</v>
      </c>
      <c r="D4" s="6" t="s">
        <v>96</v>
      </c>
      <c r="E4" s="6" t="s">
        <v>91</v>
      </c>
      <c r="F4" s="42" t="n">
        <v>46174</v>
      </c>
      <c r="G4" s="42" t="n">
        <v>46188</v>
      </c>
      <c r="H4" s="5" t="s">
        <v>10</v>
      </c>
      <c r="I4" s="6"/>
      <c r="J4" s="6" t="s">
        <v>97</v>
      </c>
    </row>
    <row r="5" customFormat="false" ht="15" hidden="false" customHeight="false" outlineLevel="0" collapsed="false">
      <c r="A5" s="6" t="s">
        <v>98</v>
      </c>
      <c r="B5" s="5" t="s">
        <v>12</v>
      </c>
      <c r="C5" s="6" t="s">
        <v>99</v>
      </c>
      <c r="D5" s="6" t="s">
        <v>100</v>
      </c>
      <c r="E5" s="6" t="s">
        <v>91</v>
      </c>
      <c r="F5" s="42" t="n">
        <v>46174</v>
      </c>
      <c r="G5" s="42" t="n">
        <v>46181</v>
      </c>
      <c r="H5" s="5" t="s">
        <v>10</v>
      </c>
      <c r="I5" s="6"/>
      <c r="J5" s="6" t="s">
        <v>101</v>
      </c>
    </row>
    <row r="6" customFormat="false" ht="15" hidden="false" customHeight="false" outlineLevel="0" collapsed="false">
      <c r="A6" s="6" t="s">
        <v>102</v>
      </c>
      <c r="B6" s="5" t="s">
        <v>12</v>
      </c>
      <c r="C6" s="6" t="s">
        <v>99</v>
      </c>
      <c r="D6" s="6" t="s">
        <v>103</v>
      </c>
      <c r="E6" s="6" t="s">
        <v>91</v>
      </c>
      <c r="F6" s="42" t="n">
        <v>46174</v>
      </c>
      <c r="G6" s="42" t="n">
        <v>46181</v>
      </c>
      <c r="H6" s="5" t="s">
        <v>10</v>
      </c>
      <c r="I6" s="6"/>
      <c r="J6" s="6"/>
    </row>
    <row r="7" customFormat="false" ht="23.85" hidden="false" customHeight="false" outlineLevel="0" collapsed="false">
      <c r="A7" s="6" t="s">
        <v>104</v>
      </c>
      <c r="B7" s="5" t="s">
        <v>12</v>
      </c>
      <c r="C7" s="6" t="s">
        <v>99</v>
      </c>
      <c r="D7" s="6" t="s">
        <v>105</v>
      </c>
      <c r="E7" s="6" t="s">
        <v>106</v>
      </c>
      <c r="F7" s="42" t="n">
        <v>46174</v>
      </c>
      <c r="G7" s="42" t="n">
        <v>46188</v>
      </c>
      <c r="H7" s="5" t="s">
        <v>10</v>
      </c>
      <c r="I7" s="6"/>
      <c r="J7" s="6" t="s">
        <v>107</v>
      </c>
    </row>
    <row r="8" customFormat="false" ht="15" hidden="false" customHeight="false" outlineLevel="0" collapsed="false">
      <c r="A8" s="6" t="s">
        <v>108</v>
      </c>
      <c r="B8" s="5" t="s">
        <v>12</v>
      </c>
      <c r="C8" s="6" t="s">
        <v>109</v>
      </c>
      <c r="D8" s="6" t="s">
        <v>110</v>
      </c>
      <c r="E8" s="6" t="s">
        <v>91</v>
      </c>
      <c r="F8" s="42" t="n">
        <v>46174</v>
      </c>
      <c r="G8" s="42" t="n">
        <v>46181</v>
      </c>
      <c r="H8" s="5" t="s">
        <v>10</v>
      </c>
      <c r="I8" s="6"/>
      <c r="J8" s="6" t="s">
        <v>111</v>
      </c>
    </row>
    <row r="9" customFormat="false" ht="35.05" hidden="false" customHeight="false" outlineLevel="0" collapsed="false">
      <c r="A9" s="6" t="s">
        <v>112</v>
      </c>
      <c r="B9" s="5" t="s">
        <v>12</v>
      </c>
      <c r="C9" s="6" t="s">
        <v>113</v>
      </c>
      <c r="D9" s="6" t="s">
        <v>114</v>
      </c>
      <c r="E9" s="6" t="s">
        <v>115</v>
      </c>
      <c r="F9" s="42" t="n">
        <v>46181</v>
      </c>
      <c r="G9" s="42" t="n">
        <v>46195</v>
      </c>
      <c r="H9" s="5" t="s">
        <v>7</v>
      </c>
      <c r="I9" s="6"/>
      <c r="J9" s="6" t="s">
        <v>116</v>
      </c>
    </row>
    <row r="10" customFormat="false" ht="23.85" hidden="false" customHeight="false" outlineLevel="0" collapsed="false">
      <c r="A10" s="6" t="s">
        <v>117</v>
      </c>
      <c r="B10" s="5" t="s">
        <v>12</v>
      </c>
      <c r="C10" s="6" t="s">
        <v>109</v>
      </c>
      <c r="D10" s="6" t="s">
        <v>118</v>
      </c>
      <c r="E10" s="6" t="s">
        <v>91</v>
      </c>
      <c r="F10" s="42" t="n">
        <v>46174</v>
      </c>
      <c r="G10" s="42" t="n">
        <v>46188</v>
      </c>
      <c r="H10" s="5" t="s">
        <v>10</v>
      </c>
      <c r="I10" s="6"/>
      <c r="J10" s="6" t="s">
        <v>119</v>
      </c>
    </row>
    <row r="11" customFormat="false" ht="15" hidden="false" customHeight="false" outlineLevel="0" collapsed="false">
      <c r="A11" s="6" t="s">
        <v>120</v>
      </c>
      <c r="B11" s="5" t="s">
        <v>12</v>
      </c>
      <c r="C11" s="6" t="s">
        <v>113</v>
      </c>
      <c r="D11" s="6" t="s">
        <v>121</v>
      </c>
      <c r="E11" s="6" t="s">
        <v>122</v>
      </c>
      <c r="F11" s="42" t="n">
        <v>46188</v>
      </c>
      <c r="G11" s="42" t="n">
        <v>46195</v>
      </c>
      <c r="H11" s="5" t="s">
        <v>7</v>
      </c>
      <c r="I11" s="6"/>
      <c r="J11" s="6" t="s">
        <v>123</v>
      </c>
    </row>
    <row r="12" customFormat="false" ht="35.05" hidden="false" customHeight="false" outlineLevel="0" collapsed="false">
      <c r="A12" s="9" t="s">
        <v>124</v>
      </c>
      <c r="B12" s="8" t="s">
        <v>14</v>
      </c>
      <c r="C12" s="9" t="s">
        <v>125</v>
      </c>
      <c r="D12" s="9" t="s">
        <v>126</v>
      </c>
      <c r="E12" s="9" t="s">
        <v>127</v>
      </c>
      <c r="F12" s="43" t="n">
        <v>46188</v>
      </c>
      <c r="G12" s="43" t="n">
        <v>46195</v>
      </c>
      <c r="H12" s="8" t="s">
        <v>10</v>
      </c>
      <c r="I12" s="9" t="s">
        <v>98</v>
      </c>
      <c r="J12" s="9" t="s">
        <v>128</v>
      </c>
    </row>
    <row r="13" customFormat="false" ht="15" hidden="false" customHeight="false" outlineLevel="0" collapsed="false">
      <c r="A13" s="9" t="s">
        <v>129</v>
      </c>
      <c r="B13" s="8" t="s">
        <v>14</v>
      </c>
      <c r="C13" s="9" t="s">
        <v>125</v>
      </c>
      <c r="D13" s="9" t="s">
        <v>130</v>
      </c>
      <c r="E13" s="9" t="s">
        <v>91</v>
      </c>
      <c r="F13" s="43" t="n">
        <v>46195</v>
      </c>
      <c r="G13" s="43" t="n">
        <v>46202</v>
      </c>
      <c r="H13" s="8" t="s">
        <v>10</v>
      </c>
      <c r="I13" s="9" t="s">
        <v>124</v>
      </c>
      <c r="J13" s="9"/>
    </row>
    <row r="14" customFormat="false" ht="15" hidden="false" customHeight="false" outlineLevel="0" collapsed="false">
      <c r="A14" s="9" t="s">
        <v>131</v>
      </c>
      <c r="B14" s="8" t="s">
        <v>14</v>
      </c>
      <c r="C14" s="9" t="s">
        <v>125</v>
      </c>
      <c r="D14" s="9" t="s">
        <v>132</v>
      </c>
      <c r="E14" s="9" t="s">
        <v>91</v>
      </c>
      <c r="F14" s="43" t="n">
        <v>46202</v>
      </c>
      <c r="G14" s="43" t="n">
        <v>46209</v>
      </c>
      <c r="H14" s="8" t="s">
        <v>10</v>
      </c>
      <c r="I14" s="9" t="s">
        <v>129</v>
      </c>
      <c r="J14" s="9"/>
    </row>
    <row r="15" customFormat="false" ht="15" hidden="false" customHeight="false" outlineLevel="0" collapsed="false">
      <c r="A15" s="9" t="s">
        <v>133</v>
      </c>
      <c r="B15" s="8" t="s">
        <v>14</v>
      </c>
      <c r="C15" s="9" t="s">
        <v>113</v>
      </c>
      <c r="D15" s="9" t="s">
        <v>134</v>
      </c>
      <c r="E15" s="9" t="s">
        <v>122</v>
      </c>
      <c r="F15" s="43" t="n">
        <v>46195</v>
      </c>
      <c r="G15" s="43" t="n">
        <v>46209</v>
      </c>
      <c r="H15" s="8" t="s">
        <v>7</v>
      </c>
      <c r="I15" s="9" t="s">
        <v>129</v>
      </c>
      <c r="J15" s="9" t="s">
        <v>135</v>
      </c>
    </row>
    <row r="16" customFormat="false" ht="23.85" hidden="false" customHeight="false" outlineLevel="0" collapsed="false">
      <c r="A16" s="9" t="s">
        <v>136</v>
      </c>
      <c r="B16" s="8" t="s">
        <v>14</v>
      </c>
      <c r="C16" s="9" t="s">
        <v>113</v>
      </c>
      <c r="D16" s="9" t="s">
        <v>137</v>
      </c>
      <c r="E16" s="9" t="s">
        <v>122</v>
      </c>
      <c r="F16" s="43" t="n">
        <v>46195</v>
      </c>
      <c r="G16" s="43" t="n">
        <v>46209</v>
      </c>
      <c r="H16" s="8" t="s">
        <v>7</v>
      </c>
      <c r="I16" s="9" t="s">
        <v>129</v>
      </c>
      <c r="J16" s="9" t="s">
        <v>138</v>
      </c>
    </row>
    <row r="17" customFormat="false" ht="23.85" hidden="false" customHeight="false" outlineLevel="0" collapsed="false">
      <c r="A17" s="9" t="s">
        <v>139</v>
      </c>
      <c r="B17" s="8" t="s">
        <v>14</v>
      </c>
      <c r="C17" s="9" t="s">
        <v>113</v>
      </c>
      <c r="D17" s="9" t="s">
        <v>140</v>
      </c>
      <c r="E17" s="9" t="s">
        <v>122</v>
      </c>
      <c r="F17" s="43" t="n">
        <v>46195</v>
      </c>
      <c r="G17" s="43" t="n">
        <v>46216</v>
      </c>
      <c r="H17" s="8" t="s">
        <v>7</v>
      </c>
      <c r="I17" s="9" t="s">
        <v>129</v>
      </c>
      <c r="J17" s="9" t="s">
        <v>141</v>
      </c>
    </row>
    <row r="18" customFormat="false" ht="23.85" hidden="false" customHeight="false" outlineLevel="0" collapsed="false">
      <c r="A18" s="9" t="s">
        <v>142</v>
      </c>
      <c r="B18" s="8" t="s">
        <v>14</v>
      </c>
      <c r="C18" s="9" t="s">
        <v>113</v>
      </c>
      <c r="D18" s="9" t="s">
        <v>143</v>
      </c>
      <c r="E18" s="9" t="s">
        <v>122</v>
      </c>
      <c r="F18" s="43" t="n">
        <v>46209</v>
      </c>
      <c r="G18" s="43" t="n">
        <v>46230</v>
      </c>
      <c r="H18" s="8" t="s">
        <v>7</v>
      </c>
      <c r="I18" s="9" t="s">
        <v>139</v>
      </c>
      <c r="J18" s="9" t="s">
        <v>144</v>
      </c>
    </row>
    <row r="19" customFormat="false" ht="23.85" hidden="false" customHeight="false" outlineLevel="0" collapsed="false">
      <c r="A19" s="9" t="s">
        <v>145</v>
      </c>
      <c r="B19" s="8" t="s">
        <v>14</v>
      </c>
      <c r="C19" s="9" t="s">
        <v>146</v>
      </c>
      <c r="D19" s="9" t="s">
        <v>147</v>
      </c>
      <c r="E19" s="9" t="s">
        <v>51</v>
      </c>
      <c r="F19" s="43" t="n">
        <v>46188</v>
      </c>
      <c r="G19" s="43" t="n">
        <v>46216</v>
      </c>
      <c r="H19" s="8" t="s">
        <v>8</v>
      </c>
      <c r="I19" s="9" t="s">
        <v>95</v>
      </c>
      <c r="J19" s="9" t="s">
        <v>148</v>
      </c>
    </row>
    <row r="20" customFormat="false" ht="23.85" hidden="false" customHeight="false" outlineLevel="0" collapsed="false">
      <c r="A20" s="9" t="s">
        <v>149</v>
      </c>
      <c r="B20" s="8" t="s">
        <v>14</v>
      </c>
      <c r="C20" s="9" t="s">
        <v>146</v>
      </c>
      <c r="D20" s="9" t="s">
        <v>150</v>
      </c>
      <c r="E20" s="9" t="s">
        <v>51</v>
      </c>
      <c r="F20" s="43" t="n">
        <v>46188</v>
      </c>
      <c r="G20" s="43" t="n">
        <v>46216</v>
      </c>
      <c r="H20" s="8" t="s">
        <v>8</v>
      </c>
      <c r="I20" s="9" t="s">
        <v>95</v>
      </c>
      <c r="J20" s="9" t="s">
        <v>151</v>
      </c>
    </row>
    <row r="21" customFormat="false" ht="23.85" hidden="false" customHeight="false" outlineLevel="0" collapsed="false">
      <c r="A21" s="9" t="s">
        <v>152</v>
      </c>
      <c r="B21" s="8" t="s">
        <v>14</v>
      </c>
      <c r="C21" s="9" t="s">
        <v>146</v>
      </c>
      <c r="D21" s="9" t="s">
        <v>153</v>
      </c>
      <c r="E21" s="9" t="s">
        <v>51</v>
      </c>
      <c r="F21" s="43" t="n">
        <v>46188</v>
      </c>
      <c r="G21" s="43" t="n">
        <v>46216</v>
      </c>
      <c r="H21" s="8" t="s">
        <v>8</v>
      </c>
      <c r="I21" s="9" t="s">
        <v>95</v>
      </c>
      <c r="J21" s="9" t="s">
        <v>154</v>
      </c>
    </row>
    <row r="22" customFormat="false" ht="23.85" hidden="false" customHeight="false" outlineLevel="0" collapsed="false">
      <c r="A22" s="9" t="s">
        <v>155</v>
      </c>
      <c r="B22" s="8" t="s">
        <v>14</v>
      </c>
      <c r="C22" s="9" t="s">
        <v>146</v>
      </c>
      <c r="D22" s="9" t="s">
        <v>156</v>
      </c>
      <c r="E22" s="9" t="s">
        <v>51</v>
      </c>
      <c r="F22" s="43" t="n">
        <v>46188</v>
      </c>
      <c r="G22" s="43" t="n">
        <v>46216</v>
      </c>
      <c r="H22" s="8" t="s">
        <v>8</v>
      </c>
      <c r="I22" s="9" t="s">
        <v>95</v>
      </c>
      <c r="J22" s="9" t="s">
        <v>157</v>
      </c>
    </row>
    <row r="23" customFormat="false" ht="23.85" hidden="false" customHeight="false" outlineLevel="0" collapsed="false">
      <c r="A23" s="9" t="s">
        <v>158</v>
      </c>
      <c r="B23" s="8" t="s">
        <v>14</v>
      </c>
      <c r="C23" s="9" t="s">
        <v>146</v>
      </c>
      <c r="D23" s="9" t="s">
        <v>159</v>
      </c>
      <c r="E23" s="9" t="s">
        <v>160</v>
      </c>
      <c r="F23" s="43" t="n">
        <v>46202</v>
      </c>
      <c r="G23" s="43" t="n">
        <v>46244</v>
      </c>
      <c r="H23" s="8" t="s">
        <v>8</v>
      </c>
      <c r="I23" s="9" t="s">
        <v>95</v>
      </c>
      <c r="J23" s="9" t="s">
        <v>161</v>
      </c>
    </row>
    <row r="24" customFormat="false" ht="23.85" hidden="false" customHeight="false" outlineLevel="0" collapsed="false">
      <c r="A24" s="9" t="s">
        <v>162</v>
      </c>
      <c r="B24" s="8" t="s">
        <v>14</v>
      </c>
      <c r="C24" s="9" t="s">
        <v>146</v>
      </c>
      <c r="D24" s="9" t="s">
        <v>163</v>
      </c>
      <c r="E24" s="9" t="s">
        <v>53</v>
      </c>
      <c r="F24" s="43" t="n">
        <v>46195</v>
      </c>
      <c r="G24" s="43" t="n">
        <v>46216</v>
      </c>
      <c r="H24" s="8" t="s">
        <v>8</v>
      </c>
      <c r="I24" s="9" t="s">
        <v>117</v>
      </c>
      <c r="J24" s="9" t="s">
        <v>164</v>
      </c>
    </row>
    <row r="25" customFormat="false" ht="23.85" hidden="false" customHeight="false" outlineLevel="0" collapsed="false">
      <c r="A25" s="9" t="s">
        <v>165</v>
      </c>
      <c r="B25" s="8" t="s">
        <v>14</v>
      </c>
      <c r="C25" s="9" t="s">
        <v>109</v>
      </c>
      <c r="D25" s="9" t="s">
        <v>166</v>
      </c>
      <c r="E25" s="9" t="s">
        <v>55</v>
      </c>
      <c r="F25" s="43" t="n">
        <v>46202</v>
      </c>
      <c r="G25" s="43" t="n">
        <v>46244</v>
      </c>
      <c r="H25" s="8" t="s">
        <v>10</v>
      </c>
      <c r="I25" s="9" t="s">
        <v>145</v>
      </c>
      <c r="J25" s="9" t="s">
        <v>167</v>
      </c>
    </row>
    <row r="26" customFormat="false" ht="15" hidden="false" customHeight="false" outlineLevel="0" collapsed="false">
      <c r="A26" s="9" t="s">
        <v>168</v>
      </c>
      <c r="B26" s="8" t="s">
        <v>14</v>
      </c>
      <c r="C26" s="9" t="s">
        <v>109</v>
      </c>
      <c r="D26" s="9" t="s">
        <v>169</v>
      </c>
      <c r="E26" s="9" t="s">
        <v>55</v>
      </c>
      <c r="F26" s="43" t="n">
        <v>46202</v>
      </c>
      <c r="G26" s="43" t="n">
        <v>46244</v>
      </c>
      <c r="H26" s="8" t="s">
        <v>10</v>
      </c>
      <c r="I26" s="9" t="s">
        <v>165</v>
      </c>
      <c r="J26" s="9"/>
    </row>
    <row r="27" customFormat="false" ht="15" hidden="false" customHeight="false" outlineLevel="0" collapsed="false">
      <c r="A27" s="9" t="s">
        <v>170</v>
      </c>
      <c r="B27" s="8" t="s">
        <v>14</v>
      </c>
      <c r="C27" s="9" t="s">
        <v>109</v>
      </c>
      <c r="D27" s="9" t="s">
        <v>171</v>
      </c>
      <c r="E27" s="9" t="s">
        <v>55</v>
      </c>
      <c r="F27" s="43" t="n">
        <v>46209</v>
      </c>
      <c r="G27" s="43" t="n">
        <v>46258</v>
      </c>
      <c r="H27" s="8" t="s">
        <v>10</v>
      </c>
      <c r="I27" s="9" t="s">
        <v>165</v>
      </c>
      <c r="J27" s="9"/>
    </row>
    <row r="28" customFormat="false" ht="15" hidden="false" customHeight="false" outlineLevel="0" collapsed="false">
      <c r="A28" s="9" t="s">
        <v>172</v>
      </c>
      <c r="B28" s="8" t="s">
        <v>14</v>
      </c>
      <c r="C28" s="9" t="s">
        <v>109</v>
      </c>
      <c r="D28" s="9" t="s">
        <v>173</v>
      </c>
      <c r="E28" s="9" t="s">
        <v>55</v>
      </c>
      <c r="F28" s="43" t="n">
        <v>46202</v>
      </c>
      <c r="G28" s="43" t="n">
        <v>46230</v>
      </c>
      <c r="H28" s="8" t="s">
        <v>10</v>
      </c>
      <c r="I28" s="9"/>
      <c r="J28" s="9"/>
    </row>
    <row r="29" customFormat="false" ht="15" hidden="false" customHeight="false" outlineLevel="0" collapsed="false">
      <c r="A29" s="9" t="s">
        <v>174</v>
      </c>
      <c r="B29" s="8" t="s">
        <v>14</v>
      </c>
      <c r="C29" s="9" t="s">
        <v>125</v>
      </c>
      <c r="D29" s="9" t="s">
        <v>175</v>
      </c>
      <c r="E29" s="9" t="s">
        <v>55</v>
      </c>
      <c r="F29" s="43" t="n">
        <v>46209</v>
      </c>
      <c r="G29" s="43" t="n">
        <v>46244</v>
      </c>
      <c r="H29" s="8" t="s">
        <v>10</v>
      </c>
      <c r="I29" s="9"/>
      <c r="J29" s="9" t="s">
        <v>176</v>
      </c>
    </row>
    <row r="30" customFormat="false" ht="23.85" hidden="false" customHeight="false" outlineLevel="0" collapsed="false">
      <c r="A30" s="9" t="s">
        <v>177</v>
      </c>
      <c r="B30" s="8" t="s">
        <v>14</v>
      </c>
      <c r="C30" s="9" t="s">
        <v>125</v>
      </c>
      <c r="D30" s="9" t="s">
        <v>178</v>
      </c>
      <c r="E30" s="9" t="s">
        <v>122</v>
      </c>
      <c r="F30" s="43" t="n">
        <v>46202</v>
      </c>
      <c r="G30" s="43" t="n">
        <v>46223</v>
      </c>
      <c r="H30" s="8" t="s">
        <v>8</v>
      </c>
      <c r="I30" s="9"/>
      <c r="J30" s="9" t="s">
        <v>179</v>
      </c>
    </row>
    <row r="31" customFormat="false" ht="23.85" hidden="false" customHeight="false" outlineLevel="0" collapsed="false">
      <c r="A31" s="9" t="s">
        <v>180</v>
      </c>
      <c r="B31" s="8" t="s">
        <v>14</v>
      </c>
      <c r="C31" s="9" t="s">
        <v>125</v>
      </c>
      <c r="D31" s="9" t="s">
        <v>181</v>
      </c>
      <c r="E31" s="9" t="s">
        <v>182</v>
      </c>
      <c r="F31" s="43" t="n">
        <v>46230</v>
      </c>
      <c r="G31" s="43" t="n">
        <v>46258</v>
      </c>
      <c r="H31" s="8" t="s">
        <v>10</v>
      </c>
      <c r="I31" s="9"/>
      <c r="J31" s="9"/>
    </row>
    <row r="32" customFormat="false" ht="23.85" hidden="false" customHeight="false" outlineLevel="0" collapsed="false">
      <c r="A32" s="9" t="s">
        <v>183</v>
      </c>
      <c r="B32" s="8" t="s">
        <v>14</v>
      </c>
      <c r="C32" s="9" t="s">
        <v>109</v>
      </c>
      <c r="D32" s="9" t="s">
        <v>184</v>
      </c>
      <c r="E32" s="9" t="s">
        <v>57</v>
      </c>
      <c r="F32" s="43" t="n">
        <v>46230</v>
      </c>
      <c r="G32" s="43" t="n">
        <v>46258</v>
      </c>
      <c r="H32" s="8" t="s">
        <v>10</v>
      </c>
      <c r="I32" s="9"/>
      <c r="J32" s="9" t="s">
        <v>185</v>
      </c>
    </row>
    <row r="33" customFormat="false" ht="23.85" hidden="false" customHeight="false" outlineLevel="0" collapsed="false">
      <c r="A33" s="12" t="s">
        <v>186</v>
      </c>
      <c r="B33" s="11" t="s">
        <v>16</v>
      </c>
      <c r="C33" s="12" t="s">
        <v>187</v>
      </c>
      <c r="D33" s="12" t="s">
        <v>188</v>
      </c>
      <c r="E33" s="12" t="s">
        <v>57</v>
      </c>
      <c r="F33" s="44" t="n">
        <v>46209</v>
      </c>
      <c r="G33" s="44" t="n">
        <v>46244</v>
      </c>
      <c r="H33" s="11" t="s">
        <v>10</v>
      </c>
      <c r="I33" s="12" t="s">
        <v>129</v>
      </c>
      <c r="J33" s="12" t="s">
        <v>189</v>
      </c>
    </row>
    <row r="34" customFormat="false" ht="23.85" hidden="false" customHeight="false" outlineLevel="0" collapsed="false">
      <c r="A34" s="12" t="s">
        <v>190</v>
      </c>
      <c r="B34" s="11" t="s">
        <v>16</v>
      </c>
      <c r="C34" s="12" t="s">
        <v>187</v>
      </c>
      <c r="D34" s="12" t="s">
        <v>191</v>
      </c>
      <c r="E34" s="12" t="s">
        <v>57</v>
      </c>
      <c r="F34" s="44" t="n">
        <v>46223</v>
      </c>
      <c r="G34" s="44" t="n">
        <v>46258</v>
      </c>
      <c r="H34" s="11" t="s">
        <v>10</v>
      </c>
      <c r="I34" s="12" t="s">
        <v>183</v>
      </c>
      <c r="J34" s="12" t="s">
        <v>192</v>
      </c>
    </row>
    <row r="35" customFormat="false" ht="23.85" hidden="false" customHeight="false" outlineLevel="0" collapsed="false">
      <c r="A35" s="12" t="s">
        <v>193</v>
      </c>
      <c r="B35" s="11" t="s">
        <v>16</v>
      </c>
      <c r="C35" s="12" t="s">
        <v>187</v>
      </c>
      <c r="D35" s="12" t="s">
        <v>194</v>
      </c>
      <c r="E35" s="12" t="s">
        <v>57</v>
      </c>
      <c r="F35" s="44" t="n">
        <v>46230</v>
      </c>
      <c r="G35" s="44" t="n">
        <v>46279</v>
      </c>
      <c r="H35" s="11" t="s">
        <v>10</v>
      </c>
      <c r="I35" s="12" t="s">
        <v>183</v>
      </c>
      <c r="J35" s="12" t="s">
        <v>195</v>
      </c>
    </row>
    <row r="36" customFormat="false" ht="23.85" hidden="false" customHeight="false" outlineLevel="0" collapsed="false">
      <c r="A36" s="12" t="s">
        <v>196</v>
      </c>
      <c r="B36" s="11" t="s">
        <v>16</v>
      </c>
      <c r="C36" s="12" t="s">
        <v>197</v>
      </c>
      <c r="D36" s="12" t="s">
        <v>198</v>
      </c>
      <c r="E36" s="12" t="s">
        <v>57</v>
      </c>
      <c r="F36" s="44" t="n">
        <v>46230</v>
      </c>
      <c r="G36" s="44" t="n">
        <v>46293</v>
      </c>
      <c r="H36" s="11" t="s">
        <v>10</v>
      </c>
      <c r="I36" s="12" t="s">
        <v>183</v>
      </c>
      <c r="J36" s="12" t="s">
        <v>199</v>
      </c>
    </row>
    <row r="37" customFormat="false" ht="15" hidden="false" customHeight="false" outlineLevel="0" collapsed="false">
      <c r="A37" s="12" t="s">
        <v>200</v>
      </c>
      <c r="B37" s="11" t="s">
        <v>16</v>
      </c>
      <c r="C37" s="12" t="s">
        <v>197</v>
      </c>
      <c r="D37" s="12" t="s">
        <v>201</v>
      </c>
      <c r="E37" s="12" t="s">
        <v>122</v>
      </c>
      <c r="F37" s="44" t="n">
        <v>46265</v>
      </c>
      <c r="G37" s="44" t="n">
        <v>46314</v>
      </c>
      <c r="H37" s="11" t="s">
        <v>10</v>
      </c>
      <c r="I37" s="12" t="s">
        <v>193</v>
      </c>
      <c r="J37" s="12"/>
    </row>
    <row r="38" customFormat="false" ht="15" hidden="false" customHeight="false" outlineLevel="0" collapsed="false">
      <c r="A38" s="12" t="s">
        <v>202</v>
      </c>
      <c r="B38" s="11" t="s">
        <v>16</v>
      </c>
      <c r="C38" s="12" t="s">
        <v>197</v>
      </c>
      <c r="D38" s="12" t="s">
        <v>203</v>
      </c>
      <c r="E38" s="12" t="s">
        <v>122</v>
      </c>
      <c r="F38" s="44" t="n">
        <v>46223</v>
      </c>
      <c r="G38" s="44" t="n">
        <v>46258</v>
      </c>
      <c r="H38" s="11" t="s">
        <v>10</v>
      </c>
      <c r="I38" s="12"/>
      <c r="J38" s="12"/>
    </row>
    <row r="39" customFormat="false" ht="15" hidden="false" customHeight="false" outlineLevel="0" collapsed="false">
      <c r="A39" s="12" t="s">
        <v>204</v>
      </c>
      <c r="B39" s="11" t="s">
        <v>16</v>
      </c>
      <c r="C39" s="12" t="s">
        <v>113</v>
      </c>
      <c r="D39" s="12" t="s">
        <v>205</v>
      </c>
      <c r="E39" s="12" t="s">
        <v>122</v>
      </c>
      <c r="F39" s="44" t="n">
        <v>46230</v>
      </c>
      <c r="G39" s="44" t="n">
        <v>46286</v>
      </c>
      <c r="H39" s="11" t="s">
        <v>10</v>
      </c>
      <c r="I39" s="12"/>
      <c r="J39" s="12"/>
    </row>
    <row r="40" customFormat="false" ht="15" hidden="false" customHeight="false" outlineLevel="0" collapsed="false">
      <c r="A40" s="12" t="s">
        <v>206</v>
      </c>
      <c r="B40" s="11" t="s">
        <v>16</v>
      </c>
      <c r="C40" s="12" t="s">
        <v>113</v>
      </c>
      <c r="D40" s="12" t="s">
        <v>207</v>
      </c>
      <c r="E40" s="12" t="s">
        <v>122</v>
      </c>
      <c r="F40" s="44" t="n">
        <v>46244</v>
      </c>
      <c r="G40" s="44" t="n">
        <v>46286</v>
      </c>
      <c r="H40" s="11" t="s">
        <v>10</v>
      </c>
      <c r="I40" s="12" t="s">
        <v>200</v>
      </c>
      <c r="J40" s="12" t="s">
        <v>208</v>
      </c>
    </row>
    <row r="41" customFormat="false" ht="15" hidden="false" customHeight="false" outlineLevel="0" collapsed="false">
      <c r="A41" s="12" t="s">
        <v>209</v>
      </c>
      <c r="B41" s="11" t="s">
        <v>16</v>
      </c>
      <c r="C41" s="12" t="s">
        <v>113</v>
      </c>
      <c r="D41" s="12" t="s">
        <v>210</v>
      </c>
      <c r="E41" s="12" t="s">
        <v>122</v>
      </c>
      <c r="F41" s="44" t="n">
        <v>46230</v>
      </c>
      <c r="G41" s="44" t="n">
        <v>46265</v>
      </c>
      <c r="H41" s="11" t="s">
        <v>10</v>
      </c>
      <c r="I41" s="12"/>
      <c r="J41" s="12"/>
    </row>
    <row r="42" customFormat="false" ht="15" hidden="false" customHeight="false" outlineLevel="0" collapsed="false">
      <c r="A42" s="12" t="s">
        <v>211</v>
      </c>
      <c r="B42" s="11" t="s">
        <v>16</v>
      </c>
      <c r="C42" s="12" t="s">
        <v>113</v>
      </c>
      <c r="D42" s="12" t="s">
        <v>212</v>
      </c>
      <c r="E42" s="12" t="s">
        <v>122</v>
      </c>
      <c r="F42" s="44" t="n">
        <v>46230</v>
      </c>
      <c r="G42" s="44" t="n">
        <v>46265</v>
      </c>
      <c r="H42" s="11" t="s">
        <v>10</v>
      </c>
      <c r="I42" s="12" t="s">
        <v>133</v>
      </c>
      <c r="J42" s="12"/>
    </row>
    <row r="43" customFormat="false" ht="15" hidden="false" customHeight="false" outlineLevel="0" collapsed="false">
      <c r="A43" s="12" t="s">
        <v>213</v>
      </c>
      <c r="B43" s="11" t="s">
        <v>16</v>
      </c>
      <c r="C43" s="12" t="s">
        <v>113</v>
      </c>
      <c r="D43" s="12" t="s">
        <v>214</v>
      </c>
      <c r="E43" s="12" t="s">
        <v>122</v>
      </c>
      <c r="F43" s="44" t="n">
        <v>46258</v>
      </c>
      <c r="G43" s="44" t="n">
        <v>46293</v>
      </c>
      <c r="H43" s="11" t="s">
        <v>10</v>
      </c>
      <c r="I43" s="12" t="s">
        <v>202</v>
      </c>
      <c r="J43" s="12"/>
    </row>
    <row r="44" customFormat="false" ht="15" hidden="false" customHeight="false" outlineLevel="0" collapsed="false">
      <c r="A44" s="12" t="s">
        <v>215</v>
      </c>
      <c r="B44" s="11" t="s">
        <v>16</v>
      </c>
      <c r="C44" s="12" t="s">
        <v>113</v>
      </c>
      <c r="D44" s="12" t="s">
        <v>216</v>
      </c>
      <c r="E44" s="12" t="s">
        <v>122</v>
      </c>
      <c r="F44" s="44" t="n">
        <v>46279</v>
      </c>
      <c r="G44" s="44" t="n">
        <v>46314</v>
      </c>
      <c r="H44" s="11" t="s">
        <v>10</v>
      </c>
      <c r="I44" s="12"/>
      <c r="J44" s="12"/>
    </row>
    <row r="45" customFormat="false" ht="35.05" hidden="false" customHeight="false" outlineLevel="0" collapsed="false">
      <c r="A45" s="12" t="s">
        <v>217</v>
      </c>
      <c r="B45" s="11" t="s">
        <v>16</v>
      </c>
      <c r="C45" s="12" t="s">
        <v>113</v>
      </c>
      <c r="D45" s="12" t="s">
        <v>218</v>
      </c>
      <c r="E45" s="12" t="s">
        <v>219</v>
      </c>
      <c r="F45" s="44" t="n">
        <v>46258</v>
      </c>
      <c r="G45" s="44" t="n">
        <v>46293</v>
      </c>
      <c r="H45" s="11" t="s">
        <v>10</v>
      </c>
      <c r="I45" s="12"/>
      <c r="J45" s="12"/>
    </row>
    <row r="46" customFormat="false" ht="15" hidden="false" customHeight="false" outlineLevel="0" collapsed="false">
      <c r="A46" s="12" t="s">
        <v>220</v>
      </c>
      <c r="B46" s="11" t="s">
        <v>16</v>
      </c>
      <c r="C46" s="12" t="s">
        <v>221</v>
      </c>
      <c r="D46" s="12" t="s">
        <v>222</v>
      </c>
      <c r="E46" s="12" t="s">
        <v>122</v>
      </c>
      <c r="F46" s="44" t="n">
        <v>46265</v>
      </c>
      <c r="G46" s="44" t="n">
        <v>46314</v>
      </c>
      <c r="H46" s="11" t="s">
        <v>10</v>
      </c>
      <c r="I46" s="12"/>
      <c r="J46" s="12" t="s">
        <v>223</v>
      </c>
    </row>
    <row r="47" customFormat="false" ht="15" hidden="false" customHeight="false" outlineLevel="0" collapsed="false">
      <c r="A47" s="12" t="s">
        <v>224</v>
      </c>
      <c r="B47" s="11" t="s">
        <v>16</v>
      </c>
      <c r="C47" s="12" t="s">
        <v>221</v>
      </c>
      <c r="D47" s="12" t="s">
        <v>225</v>
      </c>
      <c r="E47" s="12" t="s">
        <v>122</v>
      </c>
      <c r="F47" s="44" t="n">
        <v>46293</v>
      </c>
      <c r="G47" s="44" t="n">
        <v>46328</v>
      </c>
      <c r="H47" s="11" t="s">
        <v>10</v>
      </c>
      <c r="I47" s="12" t="s">
        <v>217</v>
      </c>
      <c r="J47" s="12"/>
    </row>
    <row r="48" customFormat="false" ht="15" hidden="false" customHeight="false" outlineLevel="0" collapsed="false">
      <c r="A48" s="12" t="s">
        <v>226</v>
      </c>
      <c r="B48" s="11" t="s">
        <v>16</v>
      </c>
      <c r="C48" s="12" t="s">
        <v>227</v>
      </c>
      <c r="D48" s="12" t="s">
        <v>228</v>
      </c>
      <c r="E48" s="12" t="s">
        <v>122</v>
      </c>
      <c r="F48" s="44" t="n">
        <v>46230</v>
      </c>
      <c r="G48" s="44" t="n">
        <v>46279</v>
      </c>
      <c r="H48" s="11" t="s">
        <v>10</v>
      </c>
      <c r="I48" s="12" t="s">
        <v>117</v>
      </c>
      <c r="J48" s="12" t="s">
        <v>229</v>
      </c>
    </row>
    <row r="49" customFormat="false" ht="15" hidden="false" customHeight="false" outlineLevel="0" collapsed="false">
      <c r="A49" s="12" t="s">
        <v>230</v>
      </c>
      <c r="B49" s="11" t="s">
        <v>16</v>
      </c>
      <c r="C49" s="12" t="s">
        <v>227</v>
      </c>
      <c r="D49" s="12" t="s">
        <v>231</v>
      </c>
      <c r="E49" s="12" t="s">
        <v>122</v>
      </c>
      <c r="F49" s="44" t="n">
        <v>46244</v>
      </c>
      <c r="G49" s="44" t="n">
        <v>46286</v>
      </c>
      <c r="H49" s="11" t="s">
        <v>10</v>
      </c>
      <c r="I49" s="12" t="s">
        <v>224</v>
      </c>
      <c r="J49" s="12" t="s">
        <v>232</v>
      </c>
    </row>
    <row r="50" customFormat="false" ht="15" hidden="false" customHeight="false" outlineLevel="0" collapsed="false">
      <c r="A50" s="12" t="s">
        <v>233</v>
      </c>
      <c r="B50" s="11" t="s">
        <v>16</v>
      </c>
      <c r="C50" s="12" t="s">
        <v>227</v>
      </c>
      <c r="D50" s="12" t="s">
        <v>234</v>
      </c>
      <c r="E50" s="12" t="s">
        <v>91</v>
      </c>
      <c r="F50" s="44" t="n">
        <v>46244</v>
      </c>
      <c r="G50" s="44" t="n">
        <v>46286</v>
      </c>
      <c r="H50" s="11" t="s">
        <v>10</v>
      </c>
      <c r="I50" s="12" t="s">
        <v>224</v>
      </c>
      <c r="J50" s="12" t="s">
        <v>235</v>
      </c>
    </row>
    <row r="51" customFormat="false" ht="23.85" hidden="false" customHeight="false" outlineLevel="0" collapsed="false">
      <c r="A51" s="15" t="s">
        <v>236</v>
      </c>
      <c r="B51" s="14" t="s">
        <v>18</v>
      </c>
      <c r="C51" s="15" t="s">
        <v>237</v>
      </c>
      <c r="D51" s="15" t="s">
        <v>238</v>
      </c>
      <c r="E51" s="15" t="s">
        <v>91</v>
      </c>
      <c r="F51" s="45" t="n">
        <v>46188</v>
      </c>
      <c r="G51" s="45" t="n">
        <v>46223</v>
      </c>
      <c r="H51" s="14" t="s">
        <v>10</v>
      </c>
      <c r="I51" s="15" t="s">
        <v>88</v>
      </c>
      <c r="J51" s="15" t="s">
        <v>239</v>
      </c>
    </row>
    <row r="52" customFormat="false" ht="23.85" hidden="false" customHeight="false" outlineLevel="0" collapsed="false">
      <c r="A52" s="15" t="s">
        <v>240</v>
      </c>
      <c r="B52" s="14" t="s">
        <v>18</v>
      </c>
      <c r="C52" s="15" t="s">
        <v>237</v>
      </c>
      <c r="D52" s="15" t="s">
        <v>241</v>
      </c>
      <c r="E52" s="15" t="s">
        <v>55</v>
      </c>
      <c r="F52" s="45" t="n">
        <v>46188</v>
      </c>
      <c r="G52" s="45" t="n">
        <v>46223</v>
      </c>
      <c r="H52" s="14" t="s">
        <v>10</v>
      </c>
      <c r="I52" s="15" t="s">
        <v>88</v>
      </c>
      <c r="J52" s="15" t="s">
        <v>242</v>
      </c>
    </row>
    <row r="53" customFormat="false" ht="15" hidden="false" customHeight="false" outlineLevel="0" collapsed="false">
      <c r="A53" s="15" t="s">
        <v>243</v>
      </c>
      <c r="B53" s="14" t="s">
        <v>18</v>
      </c>
      <c r="C53" s="15" t="s">
        <v>244</v>
      </c>
      <c r="D53" s="15" t="s">
        <v>245</v>
      </c>
      <c r="E53" s="15" t="s">
        <v>55</v>
      </c>
      <c r="F53" s="45" t="n">
        <v>46237</v>
      </c>
      <c r="G53" s="45" t="n">
        <v>46279</v>
      </c>
      <c r="H53" s="14" t="s">
        <v>10</v>
      </c>
      <c r="I53" s="15" t="s">
        <v>112</v>
      </c>
      <c r="J53" s="15" t="s">
        <v>246</v>
      </c>
    </row>
    <row r="54" customFormat="false" ht="23.85" hidden="false" customHeight="false" outlineLevel="0" collapsed="false">
      <c r="A54" s="15" t="s">
        <v>247</v>
      </c>
      <c r="B54" s="14" t="s">
        <v>18</v>
      </c>
      <c r="C54" s="15" t="s">
        <v>244</v>
      </c>
      <c r="D54" s="15" t="s">
        <v>248</v>
      </c>
      <c r="E54" s="15" t="s">
        <v>55</v>
      </c>
      <c r="F54" s="45" t="n">
        <v>46265</v>
      </c>
      <c r="G54" s="45" t="n">
        <v>46314</v>
      </c>
      <c r="H54" s="14" t="s">
        <v>10</v>
      </c>
      <c r="I54" s="15" t="s">
        <v>240</v>
      </c>
      <c r="J54" s="15"/>
    </row>
    <row r="55" customFormat="false" ht="15" hidden="false" customHeight="false" outlineLevel="0" collapsed="false">
      <c r="A55" s="15" t="s">
        <v>249</v>
      </c>
      <c r="B55" s="14" t="s">
        <v>18</v>
      </c>
      <c r="C55" s="15" t="s">
        <v>244</v>
      </c>
      <c r="D55" s="15" t="s">
        <v>250</v>
      </c>
      <c r="E55" s="15" t="s">
        <v>55</v>
      </c>
      <c r="F55" s="45" t="n">
        <v>46279</v>
      </c>
      <c r="G55" s="45" t="n">
        <v>46328</v>
      </c>
      <c r="H55" s="14" t="s">
        <v>10</v>
      </c>
      <c r="I55" s="15" t="s">
        <v>243</v>
      </c>
      <c r="J55" s="15"/>
    </row>
    <row r="56" customFormat="false" ht="15" hidden="false" customHeight="false" outlineLevel="0" collapsed="false">
      <c r="A56" s="15" t="s">
        <v>251</v>
      </c>
      <c r="B56" s="14" t="s">
        <v>18</v>
      </c>
      <c r="C56" s="15" t="s">
        <v>244</v>
      </c>
      <c r="D56" s="15" t="s">
        <v>252</v>
      </c>
      <c r="E56" s="15" t="s">
        <v>122</v>
      </c>
      <c r="F56" s="45" t="n">
        <v>46265</v>
      </c>
      <c r="G56" s="45" t="n">
        <v>46314</v>
      </c>
      <c r="H56" s="14" t="s">
        <v>10</v>
      </c>
      <c r="I56" s="15" t="s">
        <v>240</v>
      </c>
      <c r="J56" s="15"/>
    </row>
    <row r="57" customFormat="false" ht="15" hidden="false" customHeight="false" outlineLevel="0" collapsed="false">
      <c r="A57" s="15" t="s">
        <v>253</v>
      </c>
      <c r="B57" s="14" t="s">
        <v>18</v>
      </c>
      <c r="C57" s="15" t="s">
        <v>244</v>
      </c>
      <c r="D57" s="15" t="s">
        <v>254</v>
      </c>
      <c r="E57" s="15" t="s">
        <v>122</v>
      </c>
      <c r="F57" s="45" t="n">
        <v>46279</v>
      </c>
      <c r="G57" s="45" t="n">
        <v>46328</v>
      </c>
      <c r="H57" s="14" t="s">
        <v>10</v>
      </c>
      <c r="I57" s="15" t="s">
        <v>240</v>
      </c>
      <c r="J57" s="15"/>
    </row>
    <row r="58" customFormat="false" ht="15" hidden="false" customHeight="false" outlineLevel="0" collapsed="false">
      <c r="A58" s="15" t="s">
        <v>255</v>
      </c>
      <c r="B58" s="14" t="s">
        <v>18</v>
      </c>
      <c r="C58" s="15" t="s">
        <v>244</v>
      </c>
      <c r="D58" s="15" t="s">
        <v>256</v>
      </c>
      <c r="E58" s="15" t="s">
        <v>122</v>
      </c>
      <c r="F58" s="45" t="n">
        <v>46279</v>
      </c>
      <c r="G58" s="45" t="n">
        <v>46328</v>
      </c>
      <c r="H58" s="14" t="s">
        <v>10</v>
      </c>
      <c r="I58" s="15" t="s">
        <v>240</v>
      </c>
      <c r="J58" s="15"/>
    </row>
    <row r="59" customFormat="false" ht="15" hidden="false" customHeight="false" outlineLevel="0" collapsed="false">
      <c r="A59" s="15" t="s">
        <v>257</v>
      </c>
      <c r="B59" s="14" t="s">
        <v>18</v>
      </c>
      <c r="C59" s="15" t="s">
        <v>244</v>
      </c>
      <c r="D59" s="15" t="s">
        <v>258</v>
      </c>
      <c r="E59" s="15" t="s">
        <v>122</v>
      </c>
      <c r="F59" s="45" t="n">
        <v>46293</v>
      </c>
      <c r="G59" s="45" t="n">
        <v>46328</v>
      </c>
      <c r="H59" s="14" t="s">
        <v>10</v>
      </c>
      <c r="I59" s="15" t="s">
        <v>240</v>
      </c>
      <c r="J59" s="15" t="s">
        <v>259</v>
      </c>
    </row>
    <row r="60" customFormat="false" ht="15" hidden="false" customHeight="false" outlineLevel="0" collapsed="false">
      <c r="A60" s="15" t="s">
        <v>260</v>
      </c>
      <c r="B60" s="14" t="s">
        <v>18</v>
      </c>
      <c r="C60" s="15" t="s">
        <v>244</v>
      </c>
      <c r="D60" s="15" t="s">
        <v>261</v>
      </c>
      <c r="E60" s="15" t="s">
        <v>182</v>
      </c>
      <c r="F60" s="45" t="n">
        <v>46293</v>
      </c>
      <c r="G60" s="45" t="n">
        <v>46328</v>
      </c>
      <c r="H60" s="14" t="s">
        <v>10</v>
      </c>
      <c r="I60" s="15" t="s">
        <v>240</v>
      </c>
      <c r="J60" s="15" t="s">
        <v>262</v>
      </c>
    </row>
    <row r="61" customFormat="false" ht="15" hidden="false" customHeight="false" outlineLevel="0" collapsed="false">
      <c r="A61" s="15" t="s">
        <v>263</v>
      </c>
      <c r="B61" s="14" t="s">
        <v>18</v>
      </c>
      <c r="C61" s="15" t="s">
        <v>244</v>
      </c>
      <c r="D61" s="15" t="s">
        <v>264</v>
      </c>
      <c r="E61" s="15" t="s">
        <v>91</v>
      </c>
      <c r="F61" s="45" t="n">
        <v>46314</v>
      </c>
      <c r="G61" s="45" t="n">
        <v>46342</v>
      </c>
      <c r="H61" s="14" t="s">
        <v>10</v>
      </c>
      <c r="I61" s="15" t="s">
        <v>260</v>
      </c>
      <c r="J61" s="15" t="s">
        <v>265</v>
      </c>
    </row>
    <row r="62" customFormat="false" ht="15" hidden="false" customHeight="false" outlineLevel="0" collapsed="false">
      <c r="A62" s="15" t="s">
        <v>266</v>
      </c>
      <c r="B62" s="14" t="s">
        <v>18</v>
      </c>
      <c r="C62" s="15" t="s">
        <v>244</v>
      </c>
      <c r="D62" s="15" t="s">
        <v>267</v>
      </c>
      <c r="E62" s="15" t="s">
        <v>91</v>
      </c>
      <c r="F62" s="45" t="n">
        <v>46314</v>
      </c>
      <c r="G62" s="45" t="n">
        <v>46342</v>
      </c>
      <c r="H62" s="14" t="s">
        <v>10</v>
      </c>
      <c r="I62" s="15" t="s">
        <v>243</v>
      </c>
      <c r="J62" s="15" t="s">
        <v>268</v>
      </c>
    </row>
    <row r="63" customFormat="false" ht="15" hidden="false" customHeight="false" outlineLevel="0" collapsed="false">
      <c r="A63" s="15" t="s">
        <v>269</v>
      </c>
      <c r="B63" s="14" t="s">
        <v>18</v>
      </c>
      <c r="C63" s="15" t="s">
        <v>244</v>
      </c>
      <c r="D63" s="15" t="s">
        <v>270</v>
      </c>
      <c r="E63" s="15" t="s">
        <v>91</v>
      </c>
      <c r="F63" s="45" t="n">
        <v>46314</v>
      </c>
      <c r="G63" s="45" t="n">
        <v>46342</v>
      </c>
      <c r="H63" s="14" t="s">
        <v>10</v>
      </c>
      <c r="I63" s="15" t="s">
        <v>243</v>
      </c>
      <c r="J63" s="15"/>
    </row>
    <row r="64" customFormat="false" ht="15" hidden="false" customHeight="false" outlineLevel="0" collapsed="false">
      <c r="A64" s="18" t="s">
        <v>271</v>
      </c>
      <c r="B64" s="17" t="s">
        <v>20</v>
      </c>
      <c r="C64" s="18" t="s">
        <v>272</v>
      </c>
      <c r="D64" s="18" t="s">
        <v>273</v>
      </c>
      <c r="E64" s="18" t="s">
        <v>61</v>
      </c>
      <c r="F64" s="46" t="n">
        <v>46244</v>
      </c>
      <c r="G64" s="46" t="n">
        <v>46293</v>
      </c>
      <c r="H64" s="17" t="s">
        <v>10</v>
      </c>
      <c r="I64" s="18"/>
      <c r="J64" s="18"/>
    </row>
    <row r="65" customFormat="false" ht="15" hidden="false" customHeight="false" outlineLevel="0" collapsed="false">
      <c r="A65" s="18" t="s">
        <v>274</v>
      </c>
      <c r="B65" s="17" t="s">
        <v>20</v>
      </c>
      <c r="C65" s="18" t="s">
        <v>146</v>
      </c>
      <c r="D65" s="18" t="s">
        <v>275</v>
      </c>
      <c r="E65" s="18" t="s">
        <v>182</v>
      </c>
      <c r="F65" s="46" t="n">
        <v>46293</v>
      </c>
      <c r="G65" s="46" t="n">
        <v>46328</v>
      </c>
      <c r="H65" s="17" t="s">
        <v>10</v>
      </c>
      <c r="I65" s="18" t="s">
        <v>276</v>
      </c>
      <c r="J65" s="18"/>
    </row>
    <row r="66" customFormat="false" ht="15" hidden="false" customHeight="false" outlineLevel="0" collapsed="false">
      <c r="A66" s="18" t="s">
        <v>277</v>
      </c>
      <c r="B66" s="17" t="s">
        <v>20</v>
      </c>
      <c r="C66" s="18" t="s">
        <v>272</v>
      </c>
      <c r="D66" s="18" t="s">
        <v>278</v>
      </c>
      <c r="E66" s="18" t="s">
        <v>91</v>
      </c>
      <c r="F66" s="46" t="n">
        <v>46293</v>
      </c>
      <c r="G66" s="46" t="n">
        <v>46328</v>
      </c>
      <c r="H66" s="17" t="s">
        <v>10</v>
      </c>
      <c r="I66" s="18" t="s">
        <v>271</v>
      </c>
      <c r="J66" s="18"/>
    </row>
    <row r="67" customFormat="false" ht="15" hidden="false" customHeight="false" outlineLevel="0" collapsed="false">
      <c r="A67" s="18" t="s">
        <v>279</v>
      </c>
      <c r="B67" s="17" t="s">
        <v>20</v>
      </c>
      <c r="C67" s="18" t="s">
        <v>272</v>
      </c>
      <c r="D67" s="18" t="s">
        <v>280</v>
      </c>
      <c r="E67" s="18" t="s">
        <v>91</v>
      </c>
      <c r="F67" s="46" t="n">
        <v>46279</v>
      </c>
      <c r="G67" s="46" t="n">
        <v>46293</v>
      </c>
      <c r="H67" s="17" t="s">
        <v>10</v>
      </c>
      <c r="I67" s="18" t="s">
        <v>281</v>
      </c>
      <c r="J67" s="18"/>
    </row>
    <row r="68" customFormat="false" ht="15" hidden="false" customHeight="false" outlineLevel="0" collapsed="false">
      <c r="A68" s="18" t="s">
        <v>282</v>
      </c>
      <c r="B68" s="17" t="s">
        <v>20</v>
      </c>
      <c r="C68" s="18" t="s">
        <v>109</v>
      </c>
      <c r="D68" s="18" t="s">
        <v>283</v>
      </c>
      <c r="E68" s="18" t="s">
        <v>91</v>
      </c>
      <c r="F68" s="46" t="n">
        <v>46279</v>
      </c>
      <c r="G68" s="46" t="n">
        <v>46328</v>
      </c>
      <c r="H68" s="17" t="s">
        <v>10</v>
      </c>
      <c r="I68" s="18" t="s">
        <v>284</v>
      </c>
      <c r="J68" s="18" t="s">
        <v>285</v>
      </c>
    </row>
    <row r="69" customFormat="false" ht="15" hidden="false" customHeight="false" outlineLevel="0" collapsed="false">
      <c r="A69" s="18" t="s">
        <v>286</v>
      </c>
      <c r="B69" s="17" t="s">
        <v>20</v>
      </c>
      <c r="C69" s="18" t="s">
        <v>109</v>
      </c>
      <c r="D69" s="18" t="s">
        <v>287</v>
      </c>
      <c r="E69" s="18" t="s">
        <v>61</v>
      </c>
      <c r="F69" s="46" t="n">
        <v>46279</v>
      </c>
      <c r="G69" s="46" t="n">
        <v>46370</v>
      </c>
      <c r="H69" s="17" t="s">
        <v>10</v>
      </c>
      <c r="I69" s="18" t="s">
        <v>282</v>
      </c>
      <c r="J69" s="18"/>
    </row>
    <row r="70" customFormat="false" ht="15" hidden="false" customHeight="false" outlineLevel="0" collapsed="false">
      <c r="A70" s="18" t="s">
        <v>288</v>
      </c>
      <c r="B70" s="17" t="s">
        <v>20</v>
      </c>
      <c r="C70" s="18" t="s">
        <v>109</v>
      </c>
      <c r="D70" s="18" t="s">
        <v>289</v>
      </c>
      <c r="E70" s="18" t="s">
        <v>182</v>
      </c>
      <c r="F70" s="46" t="n">
        <v>46279</v>
      </c>
      <c r="G70" s="46" t="n">
        <v>46349</v>
      </c>
      <c r="H70" s="17" t="s">
        <v>10</v>
      </c>
      <c r="I70" s="18" t="s">
        <v>158</v>
      </c>
      <c r="J70" s="18"/>
    </row>
    <row r="71" customFormat="false" ht="15" hidden="false" customHeight="false" outlineLevel="0" collapsed="false">
      <c r="A71" s="18" t="s">
        <v>290</v>
      </c>
      <c r="B71" s="17" t="s">
        <v>20</v>
      </c>
      <c r="C71" s="18" t="s">
        <v>109</v>
      </c>
      <c r="D71" s="18" t="s">
        <v>291</v>
      </c>
      <c r="E71" s="18" t="s">
        <v>91</v>
      </c>
      <c r="F71" s="46" t="n">
        <v>46293</v>
      </c>
      <c r="G71" s="46" t="n">
        <v>46349</v>
      </c>
      <c r="H71" s="17" t="s">
        <v>10</v>
      </c>
      <c r="I71" s="18" t="s">
        <v>145</v>
      </c>
      <c r="J71" s="18"/>
    </row>
    <row r="72" customFormat="false" ht="15" hidden="false" customHeight="false" outlineLevel="0" collapsed="false">
      <c r="A72" s="18" t="s">
        <v>292</v>
      </c>
      <c r="B72" s="17" t="s">
        <v>20</v>
      </c>
      <c r="C72" s="18" t="s">
        <v>109</v>
      </c>
      <c r="D72" s="18" t="s">
        <v>293</v>
      </c>
      <c r="E72" s="18" t="s">
        <v>63</v>
      </c>
      <c r="F72" s="46" t="n">
        <v>46328</v>
      </c>
      <c r="G72" s="46" t="n">
        <v>46370</v>
      </c>
      <c r="H72" s="17" t="s">
        <v>10</v>
      </c>
      <c r="I72" s="18" t="s">
        <v>271</v>
      </c>
      <c r="J72" s="18"/>
    </row>
    <row r="73" customFormat="false" ht="23.85" hidden="false" customHeight="false" outlineLevel="0" collapsed="false">
      <c r="A73" s="18" t="s">
        <v>294</v>
      </c>
      <c r="B73" s="17" t="s">
        <v>20</v>
      </c>
      <c r="C73" s="18" t="s">
        <v>125</v>
      </c>
      <c r="D73" s="18" t="s">
        <v>295</v>
      </c>
      <c r="E73" s="18" t="s">
        <v>55</v>
      </c>
      <c r="F73" s="46" t="n">
        <v>46293</v>
      </c>
      <c r="G73" s="46" t="n">
        <v>46349</v>
      </c>
      <c r="H73" s="17" t="s">
        <v>10</v>
      </c>
      <c r="I73" s="18" t="s">
        <v>180</v>
      </c>
      <c r="J73" s="18" t="s">
        <v>296</v>
      </c>
    </row>
    <row r="74" customFormat="false" ht="15" hidden="false" customHeight="false" outlineLevel="0" collapsed="false">
      <c r="A74" s="18" t="s">
        <v>297</v>
      </c>
      <c r="B74" s="17" t="s">
        <v>20</v>
      </c>
      <c r="C74" s="18" t="s">
        <v>125</v>
      </c>
      <c r="D74" s="18" t="s">
        <v>298</v>
      </c>
      <c r="E74" s="18" t="s">
        <v>182</v>
      </c>
      <c r="F74" s="46" t="n">
        <v>46349</v>
      </c>
      <c r="G74" s="46" t="n">
        <v>46384</v>
      </c>
      <c r="H74" s="17" t="s">
        <v>10</v>
      </c>
      <c r="I74" s="18" t="s">
        <v>294</v>
      </c>
      <c r="J74" s="18"/>
    </row>
    <row r="75" customFormat="false" ht="15" hidden="false" customHeight="false" outlineLevel="0" collapsed="false">
      <c r="A75" s="18" t="s">
        <v>299</v>
      </c>
      <c r="B75" s="17" t="s">
        <v>20</v>
      </c>
      <c r="C75" s="18" t="s">
        <v>109</v>
      </c>
      <c r="D75" s="18" t="s">
        <v>300</v>
      </c>
      <c r="E75" s="18" t="s">
        <v>91</v>
      </c>
      <c r="F75" s="46" t="n">
        <v>46314</v>
      </c>
      <c r="G75" s="46" t="n">
        <v>46370</v>
      </c>
      <c r="H75" s="17" t="s">
        <v>10</v>
      </c>
      <c r="I75" s="18"/>
      <c r="J75" s="18"/>
    </row>
    <row r="76" customFormat="false" ht="15" hidden="false" customHeight="false" outlineLevel="0" collapsed="false">
      <c r="A76" s="18" t="s">
        <v>301</v>
      </c>
      <c r="B76" s="17" t="s">
        <v>20</v>
      </c>
      <c r="C76" s="18" t="s">
        <v>302</v>
      </c>
      <c r="D76" s="18" t="s">
        <v>303</v>
      </c>
      <c r="E76" s="18" t="s">
        <v>91</v>
      </c>
      <c r="F76" s="46" t="n">
        <v>46314</v>
      </c>
      <c r="G76" s="46" t="n">
        <v>46349</v>
      </c>
      <c r="H76" s="17" t="s">
        <v>10</v>
      </c>
      <c r="I76" s="18"/>
      <c r="J76" s="18" t="s">
        <v>304</v>
      </c>
    </row>
    <row r="77" customFormat="false" ht="23.85" hidden="false" customHeight="false" outlineLevel="0" collapsed="false">
      <c r="A77" s="18" t="s">
        <v>305</v>
      </c>
      <c r="B77" s="17" t="s">
        <v>20</v>
      </c>
      <c r="C77" s="18" t="s">
        <v>302</v>
      </c>
      <c r="D77" s="18" t="s">
        <v>306</v>
      </c>
      <c r="E77" s="18" t="s">
        <v>307</v>
      </c>
      <c r="F77" s="46" t="n">
        <v>46314</v>
      </c>
      <c r="G77" s="46" t="n">
        <v>46349</v>
      </c>
      <c r="H77" s="17" t="s">
        <v>10</v>
      </c>
      <c r="I77" s="18"/>
      <c r="J77" s="18"/>
    </row>
    <row r="78" customFormat="false" ht="15" hidden="false" customHeight="false" outlineLevel="0" collapsed="false">
      <c r="A78" s="18" t="s">
        <v>308</v>
      </c>
      <c r="B78" s="17" t="s">
        <v>20</v>
      </c>
      <c r="C78" s="18" t="s">
        <v>302</v>
      </c>
      <c r="D78" s="18" t="s">
        <v>309</v>
      </c>
      <c r="E78" s="18" t="s">
        <v>91</v>
      </c>
      <c r="F78" s="46" t="n">
        <v>46314</v>
      </c>
      <c r="G78" s="46" t="n">
        <v>46349</v>
      </c>
      <c r="H78" s="17" t="s">
        <v>10</v>
      </c>
      <c r="I78" s="18"/>
      <c r="J78" s="18"/>
    </row>
    <row r="79" customFormat="false" ht="15" hidden="false" customHeight="false" outlineLevel="0" collapsed="false">
      <c r="A79" s="21" t="s">
        <v>310</v>
      </c>
      <c r="B79" s="20" t="s">
        <v>22</v>
      </c>
      <c r="C79" s="21" t="s">
        <v>237</v>
      </c>
      <c r="D79" s="21" t="s">
        <v>311</v>
      </c>
      <c r="E79" s="21" t="s">
        <v>91</v>
      </c>
      <c r="F79" s="47" t="n">
        <v>46349</v>
      </c>
      <c r="G79" s="47" t="n">
        <v>46384</v>
      </c>
      <c r="H79" s="20" t="s">
        <v>10</v>
      </c>
      <c r="I79" s="21" t="s">
        <v>312</v>
      </c>
      <c r="J79" s="21" t="s">
        <v>313</v>
      </c>
    </row>
    <row r="80" customFormat="false" ht="15" hidden="false" customHeight="false" outlineLevel="0" collapsed="false">
      <c r="A80" s="21" t="s">
        <v>314</v>
      </c>
      <c r="B80" s="20" t="s">
        <v>22</v>
      </c>
      <c r="C80" s="21" t="s">
        <v>237</v>
      </c>
      <c r="D80" s="21" t="s">
        <v>315</v>
      </c>
      <c r="E80" s="21" t="s">
        <v>316</v>
      </c>
      <c r="F80" s="47" t="n">
        <v>46370</v>
      </c>
      <c r="G80" s="47" t="n">
        <v>46426</v>
      </c>
      <c r="H80" s="20" t="s">
        <v>10</v>
      </c>
      <c r="I80" s="21" t="s">
        <v>308</v>
      </c>
      <c r="J80" s="21"/>
    </row>
    <row r="81" customFormat="false" ht="15" hidden="false" customHeight="false" outlineLevel="0" collapsed="false">
      <c r="A81" s="21" t="s">
        <v>317</v>
      </c>
      <c r="B81" s="20" t="s">
        <v>22</v>
      </c>
      <c r="C81" s="21" t="s">
        <v>237</v>
      </c>
      <c r="D81" s="21" t="s">
        <v>41</v>
      </c>
      <c r="E81" s="21" t="s">
        <v>91</v>
      </c>
      <c r="F81" s="47" t="n">
        <v>46384</v>
      </c>
      <c r="G81" s="47" t="n">
        <v>46454</v>
      </c>
      <c r="H81" s="20" t="s">
        <v>10</v>
      </c>
      <c r="I81" s="21" t="s">
        <v>310</v>
      </c>
      <c r="J81" s="21" t="s">
        <v>318</v>
      </c>
    </row>
    <row r="82" customFormat="false" ht="15" hidden="false" customHeight="false" outlineLevel="0" collapsed="false">
      <c r="A82" s="21" t="s">
        <v>319</v>
      </c>
      <c r="B82" s="20" t="s">
        <v>22</v>
      </c>
      <c r="C82" s="21" t="s">
        <v>237</v>
      </c>
      <c r="D82" s="21" t="s">
        <v>320</v>
      </c>
      <c r="E82" s="21" t="s">
        <v>91</v>
      </c>
      <c r="F82" s="47" t="n">
        <v>46349</v>
      </c>
      <c r="G82" s="47" t="n">
        <v>46384</v>
      </c>
      <c r="H82" s="20" t="s">
        <v>10</v>
      </c>
      <c r="I82" s="21" t="s">
        <v>321</v>
      </c>
      <c r="J82" s="21"/>
    </row>
    <row r="83" customFormat="false" ht="15" hidden="false" customHeight="false" outlineLevel="0" collapsed="false">
      <c r="A83" s="21" t="s">
        <v>322</v>
      </c>
      <c r="B83" s="20" t="s">
        <v>22</v>
      </c>
      <c r="C83" s="21" t="s">
        <v>237</v>
      </c>
      <c r="D83" s="21" t="s">
        <v>323</v>
      </c>
      <c r="E83" s="21" t="s">
        <v>91</v>
      </c>
      <c r="F83" s="47" t="n">
        <v>46349</v>
      </c>
      <c r="G83" s="47" t="n">
        <v>46384</v>
      </c>
      <c r="H83" s="20" t="s">
        <v>10</v>
      </c>
      <c r="I83" s="21" t="s">
        <v>317</v>
      </c>
      <c r="J83" s="21"/>
    </row>
    <row r="84" customFormat="false" ht="15" hidden="false" customHeight="false" outlineLevel="0" collapsed="false">
      <c r="A84" s="21" t="s">
        <v>324</v>
      </c>
      <c r="B84" s="20" t="s">
        <v>22</v>
      </c>
      <c r="C84" s="21" t="s">
        <v>237</v>
      </c>
      <c r="D84" s="21" t="s">
        <v>325</v>
      </c>
      <c r="E84" s="21" t="s">
        <v>326</v>
      </c>
      <c r="F84" s="47" t="n">
        <v>46370</v>
      </c>
      <c r="G84" s="47" t="n">
        <v>46426</v>
      </c>
      <c r="H84" s="20" t="s">
        <v>10</v>
      </c>
      <c r="I84" s="21" t="s">
        <v>317</v>
      </c>
      <c r="J84" s="21"/>
    </row>
    <row r="85" customFormat="false" ht="23.85" hidden="false" customHeight="false" outlineLevel="0" collapsed="false">
      <c r="A85" s="21" t="s">
        <v>327</v>
      </c>
      <c r="B85" s="20" t="s">
        <v>22</v>
      </c>
      <c r="C85" s="21" t="s">
        <v>237</v>
      </c>
      <c r="D85" s="21" t="s">
        <v>42</v>
      </c>
      <c r="E85" s="21" t="s">
        <v>328</v>
      </c>
      <c r="F85" s="47" t="n">
        <v>46384</v>
      </c>
      <c r="G85" s="47" t="n">
        <v>46454</v>
      </c>
      <c r="H85" s="20" t="s">
        <v>10</v>
      </c>
      <c r="I85" s="21" t="s">
        <v>322</v>
      </c>
      <c r="J85" s="21" t="s">
        <v>318</v>
      </c>
    </row>
    <row r="86" customFormat="false" ht="15" hidden="false" customHeight="false" outlineLevel="0" collapsed="false">
      <c r="A86" s="21" t="s">
        <v>329</v>
      </c>
      <c r="B86" s="20" t="s">
        <v>22</v>
      </c>
      <c r="C86" s="21" t="s">
        <v>302</v>
      </c>
      <c r="D86" s="21" t="s">
        <v>330</v>
      </c>
      <c r="E86" s="21" t="s">
        <v>182</v>
      </c>
      <c r="F86" s="47" t="n">
        <v>46349</v>
      </c>
      <c r="G86" s="47" t="n">
        <v>46398</v>
      </c>
      <c r="H86" s="20" t="s">
        <v>10</v>
      </c>
      <c r="I86" s="21" t="s">
        <v>331</v>
      </c>
      <c r="J86" s="21"/>
    </row>
    <row r="87" customFormat="false" ht="15" hidden="false" customHeight="false" outlineLevel="0" collapsed="false">
      <c r="A87" s="21" t="s">
        <v>332</v>
      </c>
      <c r="B87" s="20" t="s">
        <v>22</v>
      </c>
      <c r="C87" s="21" t="s">
        <v>302</v>
      </c>
      <c r="D87" s="21" t="s">
        <v>333</v>
      </c>
      <c r="E87" s="21" t="s">
        <v>91</v>
      </c>
      <c r="F87" s="47" t="n">
        <v>46370</v>
      </c>
      <c r="G87" s="47" t="n">
        <v>46398</v>
      </c>
      <c r="H87" s="20" t="s">
        <v>10</v>
      </c>
      <c r="I87" s="21" t="s">
        <v>327</v>
      </c>
      <c r="J87" s="21"/>
    </row>
    <row r="88" customFormat="false" ht="15" hidden="false" customHeight="false" outlineLevel="0" collapsed="false">
      <c r="A88" s="24" t="s">
        <v>334</v>
      </c>
      <c r="B88" s="23" t="s">
        <v>24</v>
      </c>
      <c r="C88" s="24" t="s">
        <v>272</v>
      </c>
      <c r="D88" s="24" t="s">
        <v>335</v>
      </c>
      <c r="E88" s="24" t="s">
        <v>182</v>
      </c>
      <c r="F88" s="48" t="n">
        <v>46398</v>
      </c>
      <c r="G88" s="48" t="n">
        <v>46419</v>
      </c>
      <c r="H88" s="23" t="s">
        <v>10</v>
      </c>
      <c r="I88" s="24" t="s">
        <v>279</v>
      </c>
      <c r="J88" s="24"/>
    </row>
    <row r="89" customFormat="false" ht="15" hidden="false" customHeight="false" outlineLevel="0" collapsed="false">
      <c r="A89" s="24" t="s">
        <v>336</v>
      </c>
      <c r="B89" s="23" t="s">
        <v>24</v>
      </c>
      <c r="C89" s="24" t="s">
        <v>272</v>
      </c>
      <c r="D89" s="24" t="s">
        <v>337</v>
      </c>
      <c r="E89" s="24" t="s">
        <v>91</v>
      </c>
      <c r="F89" s="48" t="n">
        <v>46426</v>
      </c>
      <c r="G89" s="48" t="n">
        <v>46447</v>
      </c>
      <c r="H89" s="23" t="s">
        <v>10</v>
      </c>
      <c r="I89" s="24" t="s">
        <v>332</v>
      </c>
      <c r="J89" s="24"/>
    </row>
    <row r="90" customFormat="false" ht="15" hidden="false" customHeight="false" outlineLevel="0" collapsed="false">
      <c r="A90" s="24" t="s">
        <v>338</v>
      </c>
      <c r="B90" s="23" t="s">
        <v>24</v>
      </c>
      <c r="C90" s="24" t="s">
        <v>272</v>
      </c>
      <c r="D90" s="24" t="s">
        <v>339</v>
      </c>
      <c r="E90" s="24" t="s">
        <v>91</v>
      </c>
      <c r="F90" s="48" t="n">
        <v>46419</v>
      </c>
      <c r="G90" s="48" t="n">
        <v>46454</v>
      </c>
      <c r="H90" s="23" t="s">
        <v>10</v>
      </c>
      <c r="I90" s="24" t="s">
        <v>334</v>
      </c>
      <c r="J90" s="24" t="s">
        <v>340</v>
      </c>
    </row>
    <row r="91" customFormat="false" ht="15" hidden="false" customHeight="false" outlineLevel="0" collapsed="false">
      <c r="A91" s="24" t="s">
        <v>341</v>
      </c>
      <c r="B91" s="23" t="s">
        <v>24</v>
      </c>
      <c r="C91" s="24" t="s">
        <v>272</v>
      </c>
      <c r="D91" s="24" t="s">
        <v>342</v>
      </c>
      <c r="E91" s="24" t="s">
        <v>343</v>
      </c>
      <c r="F91" s="48" t="n">
        <v>46447</v>
      </c>
      <c r="G91" s="48" t="n">
        <v>46496</v>
      </c>
      <c r="H91" s="23" t="s">
        <v>10</v>
      </c>
      <c r="I91" s="24" t="s">
        <v>336</v>
      </c>
      <c r="J91" s="24" t="s">
        <v>344</v>
      </c>
    </row>
    <row r="92" customFormat="false" ht="15" hidden="false" customHeight="false" outlineLevel="0" collapsed="false">
      <c r="A92" s="24" t="s">
        <v>345</v>
      </c>
      <c r="B92" s="23" t="s">
        <v>24</v>
      </c>
      <c r="C92" s="24" t="s">
        <v>302</v>
      </c>
      <c r="D92" s="24" t="s">
        <v>346</v>
      </c>
      <c r="E92" s="24" t="s">
        <v>343</v>
      </c>
      <c r="F92" s="48" t="n">
        <v>46370</v>
      </c>
      <c r="G92" s="48" t="n">
        <v>46398</v>
      </c>
      <c r="H92" s="23" t="s">
        <v>10</v>
      </c>
      <c r="I92" s="24"/>
      <c r="J92" s="24" t="s">
        <v>347</v>
      </c>
    </row>
    <row r="93" customFormat="false" ht="15" hidden="false" customHeight="false" outlineLevel="0" collapsed="false">
      <c r="A93" s="24" t="s">
        <v>348</v>
      </c>
      <c r="B93" s="23" t="s">
        <v>24</v>
      </c>
      <c r="C93" s="24" t="s">
        <v>302</v>
      </c>
      <c r="D93" s="24" t="s">
        <v>349</v>
      </c>
      <c r="E93" s="24" t="s">
        <v>350</v>
      </c>
      <c r="F93" s="48" t="n">
        <v>46370</v>
      </c>
      <c r="G93" s="48" t="n">
        <v>46398</v>
      </c>
      <c r="H93" s="23" t="s">
        <v>10</v>
      </c>
      <c r="I93" s="24"/>
      <c r="J93" s="24" t="s">
        <v>351</v>
      </c>
    </row>
    <row r="94" customFormat="false" ht="15" hidden="false" customHeight="false" outlineLevel="0" collapsed="false">
      <c r="A94" s="24" t="s">
        <v>352</v>
      </c>
      <c r="B94" s="23" t="s">
        <v>24</v>
      </c>
      <c r="C94" s="24" t="s">
        <v>302</v>
      </c>
      <c r="D94" s="24" t="s">
        <v>353</v>
      </c>
      <c r="E94" s="24" t="s">
        <v>91</v>
      </c>
      <c r="F94" s="48" t="n">
        <v>46370</v>
      </c>
      <c r="G94" s="48" t="n">
        <v>46454</v>
      </c>
      <c r="H94" s="23" t="s">
        <v>10</v>
      </c>
      <c r="I94" s="24"/>
      <c r="J94" s="24"/>
    </row>
    <row r="95" customFormat="false" ht="15" hidden="false" customHeight="false" outlineLevel="0" collapsed="false">
      <c r="A95" s="24" t="s">
        <v>354</v>
      </c>
      <c r="B95" s="23" t="s">
        <v>24</v>
      </c>
      <c r="C95" s="24" t="s">
        <v>302</v>
      </c>
      <c r="D95" s="24" t="s">
        <v>355</v>
      </c>
      <c r="E95" s="24" t="s">
        <v>91</v>
      </c>
      <c r="F95" s="48" t="n">
        <v>46328</v>
      </c>
      <c r="G95" s="48" t="n">
        <v>46539</v>
      </c>
      <c r="H95" s="23" t="s">
        <v>10</v>
      </c>
      <c r="I95" s="24" t="s">
        <v>279</v>
      </c>
      <c r="J95" s="24"/>
    </row>
    <row r="96" customFormat="false" ht="15" hidden="false" customHeight="false" outlineLevel="0" collapsed="false">
      <c r="A96" s="24" t="s">
        <v>356</v>
      </c>
      <c r="B96" s="23" t="s">
        <v>24</v>
      </c>
      <c r="C96" s="24" t="s">
        <v>109</v>
      </c>
      <c r="D96" s="24" t="s">
        <v>357</v>
      </c>
      <c r="E96" s="24" t="s">
        <v>91</v>
      </c>
      <c r="F96" s="48" t="n">
        <v>46419</v>
      </c>
      <c r="G96" s="48" t="n">
        <v>46454</v>
      </c>
      <c r="H96" s="23" t="s">
        <v>10</v>
      </c>
      <c r="I96" s="24"/>
      <c r="J96" s="24"/>
    </row>
    <row r="97" customFormat="false" ht="15" hidden="false" customHeight="false" outlineLevel="0" collapsed="false">
      <c r="A97" s="24" t="s">
        <v>358</v>
      </c>
      <c r="B97" s="23" t="s">
        <v>24</v>
      </c>
      <c r="C97" s="24" t="s">
        <v>109</v>
      </c>
      <c r="D97" s="24" t="s">
        <v>359</v>
      </c>
      <c r="E97" s="24" t="s">
        <v>122</v>
      </c>
      <c r="F97" s="48" t="n">
        <v>46370</v>
      </c>
      <c r="G97" s="48" t="n">
        <v>46419</v>
      </c>
      <c r="H97" s="23" t="s">
        <v>10</v>
      </c>
      <c r="I97" s="24" t="s">
        <v>354</v>
      </c>
      <c r="J97" s="24"/>
    </row>
    <row r="98" customFormat="false" ht="15" hidden="false" customHeight="false" outlineLevel="0" collapsed="false">
      <c r="A98" s="24" t="s">
        <v>360</v>
      </c>
      <c r="B98" s="23" t="s">
        <v>24</v>
      </c>
      <c r="C98" s="24" t="s">
        <v>361</v>
      </c>
      <c r="D98" s="24" t="s">
        <v>362</v>
      </c>
      <c r="E98" s="24" t="s">
        <v>122</v>
      </c>
      <c r="F98" s="48" t="n">
        <v>46426</v>
      </c>
      <c r="G98" s="48" t="n">
        <v>46496</v>
      </c>
      <c r="H98" s="23" t="s">
        <v>10</v>
      </c>
      <c r="I98" s="24" t="s">
        <v>230</v>
      </c>
      <c r="J98" s="24"/>
    </row>
    <row r="99" customFormat="false" ht="15" hidden="false" customHeight="false" outlineLevel="0" collapsed="false">
      <c r="A99" s="24" t="s">
        <v>363</v>
      </c>
      <c r="B99" s="23" t="s">
        <v>24</v>
      </c>
      <c r="C99" s="24" t="s">
        <v>361</v>
      </c>
      <c r="D99" s="24" t="s">
        <v>364</v>
      </c>
      <c r="E99" s="24" t="s">
        <v>122</v>
      </c>
      <c r="F99" s="48" t="n">
        <v>46426</v>
      </c>
      <c r="G99" s="48" t="n">
        <v>46496</v>
      </c>
      <c r="H99" s="23" t="s">
        <v>10</v>
      </c>
      <c r="I99" s="24" t="s">
        <v>202</v>
      </c>
      <c r="J99" s="24"/>
    </row>
    <row r="100" customFormat="false" ht="15" hidden="false" customHeight="false" outlineLevel="0" collapsed="false">
      <c r="A100" s="24" t="s">
        <v>365</v>
      </c>
      <c r="B100" s="23" t="s">
        <v>24</v>
      </c>
      <c r="C100" s="24" t="s">
        <v>361</v>
      </c>
      <c r="D100" s="24" t="s">
        <v>366</v>
      </c>
      <c r="E100" s="24" t="s">
        <v>55</v>
      </c>
      <c r="F100" s="48" t="n">
        <v>46426</v>
      </c>
      <c r="G100" s="48" t="n">
        <v>46496</v>
      </c>
      <c r="H100" s="23" t="s">
        <v>10</v>
      </c>
      <c r="I100" s="24"/>
      <c r="J100" s="24"/>
    </row>
    <row r="101" customFormat="false" ht="15" hidden="false" customHeight="false" outlineLevel="0" collapsed="false">
      <c r="A101" s="24" t="s">
        <v>367</v>
      </c>
      <c r="B101" s="23" t="s">
        <v>24</v>
      </c>
      <c r="C101" s="24" t="s">
        <v>113</v>
      </c>
      <c r="D101" s="24" t="s">
        <v>368</v>
      </c>
      <c r="E101" s="24" t="s">
        <v>91</v>
      </c>
      <c r="F101" s="48" t="n">
        <v>46454</v>
      </c>
      <c r="G101" s="48" t="n">
        <v>46539</v>
      </c>
      <c r="H101" s="23" t="s">
        <v>10</v>
      </c>
      <c r="I101" s="24"/>
      <c r="J101" s="24"/>
    </row>
    <row r="102" customFormat="false" ht="15" hidden="false" customHeight="false" outlineLevel="0" collapsed="false">
      <c r="A102" s="24" t="s">
        <v>369</v>
      </c>
      <c r="B102" s="23" t="s">
        <v>24</v>
      </c>
      <c r="C102" s="24" t="s">
        <v>370</v>
      </c>
      <c r="D102" s="24" t="s">
        <v>371</v>
      </c>
      <c r="E102" s="24" t="s">
        <v>91</v>
      </c>
      <c r="F102" s="48" t="n">
        <v>46426</v>
      </c>
      <c r="G102" s="48" t="n">
        <v>46454</v>
      </c>
      <c r="H102" s="23" t="s">
        <v>10</v>
      </c>
      <c r="I102" s="24"/>
      <c r="J102" s="24"/>
    </row>
  </sheetData>
  <conditionalFormatting sqref="H2:H102">
    <cfRule type="expression" priority="2" aboveAverage="0" equalAverage="0" bottom="0" percent="0" rank="0" text="" dxfId="12">
      <formula>$H2="Done"</formula>
    </cfRule>
    <cfRule type="expression" priority="3" aboveAverage="0" equalAverage="0" bottom="0" percent="0" rank="0" text="" dxfId="13">
      <formula>$H2="In Progress"</formula>
    </cfRule>
    <cfRule type="expression" priority="4" aboveAverage="0" equalAverage="0" bottom="0" percent="0" rank="0" text="" dxfId="14">
      <formula>$H2="Blocked"</formula>
    </cfRule>
    <cfRule type="expression" priority="5" aboveAverage="0" equalAverage="0" bottom="0" percent="0" rank="0" text="" dxfId="15">
      <formula>$H2="Deferred"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36"/>
  </cols>
  <sheetData>
    <row r="1" customFormat="false" ht="24" hidden="false" customHeight="true" outlineLevel="0" collapsed="false">
      <c r="A1" s="4" t="s">
        <v>372</v>
      </c>
      <c r="B1" s="4" t="s">
        <v>373</v>
      </c>
      <c r="C1" s="4" t="s">
        <v>374</v>
      </c>
      <c r="D1" s="4" t="s">
        <v>29</v>
      </c>
      <c r="E1" s="4" t="s">
        <v>66</v>
      </c>
      <c r="F1" s="4" t="s">
        <v>375</v>
      </c>
      <c r="G1" s="4" t="s">
        <v>83</v>
      </c>
      <c r="H1" s="4" t="s">
        <v>376</v>
      </c>
      <c r="I1" s="4" t="s">
        <v>87</v>
      </c>
    </row>
    <row r="2" customFormat="false" ht="23.85" hidden="false" customHeight="false" outlineLevel="0" collapsed="false">
      <c r="A2" s="39" t="s">
        <v>377</v>
      </c>
      <c r="B2" s="39" t="s">
        <v>378</v>
      </c>
      <c r="C2" s="39" t="s">
        <v>379</v>
      </c>
      <c r="D2" s="49" t="n">
        <v>46216</v>
      </c>
      <c r="E2" s="40" t="s">
        <v>10</v>
      </c>
      <c r="F2" s="39" t="s">
        <v>380</v>
      </c>
      <c r="G2" s="39" t="s">
        <v>381</v>
      </c>
      <c r="H2" s="39" t="s">
        <v>382</v>
      </c>
      <c r="I2" s="39" t="s">
        <v>383</v>
      </c>
    </row>
    <row r="3" customFormat="false" ht="23.85" hidden="false" customHeight="false" outlineLevel="0" collapsed="false">
      <c r="A3" s="37" t="s">
        <v>384</v>
      </c>
      <c r="B3" s="37" t="s">
        <v>378</v>
      </c>
      <c r="C3" s="37" t="s">
        <v>385</v>
      </c>
      <c r="D3" s="50" t="n">
        <v>46216</v>
      </c>
      <c r="E3" s="38" t="s">
        <v>10</v>
      </c>
      <c r="F3" s="37" t="s">
        <v>380</v>
      </c>
      <c r="G3" s="37" t="s">
        <v>381</v>
      </c>
      <c r="H3" s="37" t="s">
        <v>386</v>
      </c>
      <c r="I3" s="37" t="s">
        <v>387</v>
      </c>
    </row>
    <row r="4" customFormat="false" ht="15" hidden="false" customHeight="false" outlineLevel="0" collapsed="false">
      <c r="A4" s="39" t="s">
        <v>388</v>
      </c>
      <c r="B4" s="39" t="s">
        <v>378</v>
      </c>
      <c r="C4" s="39" t="s">
        <v>389</v>
      </c>
      <c r="D4" s="49" t="n">
        <v>46216</v>
      </c>
      <c r="E4" s="40" t="s">
        <v>10</v>
      </c>
      <c r="F4" s="39" t="s">
        <v>390</v>
      </c>
      <c r="G4" s="39" t="s">
        <v>381</v>
      </c>
      <c r="H4" s="39" t="s">
        <v>391</v>
      </c>
      <c r="I4" s="39"/>
    </row>
    <row r="5" customFormat="false" ht="15" hidden="false" customHeight="false" outlineLevel="0" collapsed="false">
      <c r="A5" s="37" t="s">
        <v>392</v>
      </c>
      <c r="B5" s="37" t="s">
        <v>393</v>
      </c>
      <c r="C5" s="37" t="s">
        <v>394</v>
      </c>
      <c r="D5" s="50" t="n">
        <v>46216</v>
      </c>
      <c r="E5" s="38" t="s">
        <v>10</v>
      </c>
      <c r="F5" s="37" t="s">
        <v>395</v>
      </c>
      <c r="G5" s="37" t="s">
        <v>381</v>
      </c>
      <c r="H5" s="37" t="s">
        <v>396</v>
      </c>
      <c r="I5" s="37" t="s">
        <v>397</v>
      </c>
    </row>
    <row r="6" customFormat="false" ht="23.85" hidden="false" customHeight="false" outlineLevel="0" collapsed="false">
      <c r="A6" s="39" t="s">
        <v>398</v>
      </c>
      <c r="B6" s="39" t="s">
        <v>399</v>
      </c>
      <c r="C6" s="39" t="s">
        <v>400</v>
      </c>
      <c r="D6" s="49" t="n">
        <v>46244</v>
      </c>
      <c r="E6" s="40" t="s">
        <v>10</v>
      </c>
      <c r="F6" s="39" t="s">
        <v>401</v>
      </c>
      <c r="G6" s="39" t="s">
        <v>381</v>
      </c>
      <c r="H6" s="39" t="s">
        <v>402</v>
      </c>
      <c r="I6" s="39"/>
    </row>
    <row r="7" customFormat="false" ht="23.85" hidden="false" customHeight="false" outlineLevel="0" collapsed="false">
      <c r="A7" s="37" t="s">
        <v>403</v>
      </c>
      <c r="B7" s="37" t="s">
        <v>378</v>
      </c>
      <c r="C7" s="37" t="s">
        <v>404</v>
      </c>
      <c r="D7" s="50" t="n">
        <v>46216</v>
      </c>
      <c r="E7" s="38" t="s">
        <v>10</v>
      </c>
      <c r="F7" s="37" t="s">
        <v>405</v>
      </c>
      <c r="G7" s="37" t="s">
        <v>91</v>
      </c>
      <c r="H7" s="37" t="s">
        <v>406</v>
      </c>
      <c r="I7" s="37"/>
    </row>
    <row r="8" customFormat="false" ht="15" hidden="false" customHeight="false" outlineLevel="0" collapsed="false">
      <c r="A8" s="39" t="s">
        <v>407</v>
      </c>
      <c r="B8" s="39" t="s">
        <v>408</v>
      </c>
      <c r="C8" s="39" t="s">
        <v>409</v>
      </c>
      <c r="D8" s="49" t="n">
        <v>46244</v>
      </c>
      <c r="E8" s="40" t="s">
        <v>10</v>
      </c>
      <c r="F8" s="39" t="s">
        <v>410</v>
      </c>
      <c r="G8" s="39" t="s">
        <v>91</v>
      </c>
      <c r="H8" s="39" t="s">
        <v>411</v>
      </c>
      <c r="I8" s="39"/>
    </row>
    <row r="9" customFormat="false" ht="15" hidden="false" customHeight="false" outlineLevel="0" collapsed="false">
      <c r="A9" s="37" t="s">
        <v>412</v>
      </c>
      <c r="B9" s="37" t="s">
        <v>413</v>
      </c>
      <c r="C9" s="37" t="s">
        <v>404</v>
      </c>
      <c r="D9" s="50" t="n">
        <v>46209</v>
      </c>
      <c r="E9" s="38" t="s">
        <v>10</v>
      </c>
      <c r="F9" s="37" t="s">
        <v>410</v>
      </c>
      <c r="G9" s="37" t="s">
        <v>91</v>
      </c>
      <c r="H9" s="37" t="s">
        <v>414</v>
      </c>
      <c r="I9" s="37" t="s">
        <v>415</v>
      </c>
    </row>
    <row r="10" customFormat="false" ht="23.85" hidden="false" customHeight="false" outlineLevel="0" collapsed="false">
      <c r="A10" s="39" t="s">
        <v>416</v>
      </c>
      <c r="B10" s="39" t="s">
        <v>417</v>
      </c>
      <c r="C10" s="39" t="s">
        <v>418</v>
      </c>
      <c r="D10" s="49" t="n">
        <v>46216</v>
      </c>
      <c r="E10" s="40" t="s">
        <v>10</v>
      </c>
      <c r="F10" s="39" t="s">
        <v>410</v>
      </c>
      <c r="G10" s="39" t="s">
        <v>91</v>
      </c>
      <c r="H10" s="39" t="s">
        <v>419</v>
      </c>
      <c r="I10" s="39" t="s">
        <v>420</v>
      </c>
    </row>
    <row r="11" customFormat="false" ht="15" hidden="false" customHeight="false" outlineLevel="0" collapsed="false">
      <c r="A11" s="37" t="s">
        <v>421</v>
      </c>
      <c r="B11" s="37" t="s">
        <v>413</v>
      </c>
      <c r="C11" s="37" t="s">
        <v>422</v>
      </c>
      <c r="D11" s="50" t="n">
        <v>46258</v>
      </c>
      <c r="E11" s="38" t="s">
        <v>10</v>
      </c>
      <c r="F11" s="37" t="s">
        <v>410</v>
      </c>
      <c r="G11" s="37" t="s">
        <v>91</v>
      </c>
      <c r="H11" s="37" t="s">
        <v>423</v>
      </c>
      <c r="I11" s="37"/>
    </row>
    <row r="12" customFormat="false" ht="15" hidden="false" customHeight="false" outlineLevel="0" collapsed="false">
      <c r="A12" s="39" t="s">
        <v>424</v>
      </c>
      <c r="B12" s="39" t="s">
        <v>425</v>
      </c>
      <c r="C12" s="39" t="s">
        <v>426</v>
      </c>
      <c r="D12" s="49" t="n">
        <v>46258</v>
      </c>
      <c r="E12" s="40" t="s">
        <v>10</v>
      </c>
      <c r="F12" s="39" t="s">
        <v>395</v>
      </c>
      <c r="G12" s="39" t="s">
        <v>91</v>
      </c>
      <c r="H12" s="39" t="s">
        <v>427</v>
      </c>
      <c r="I12" s="39" t="s">
        <v>428</v>
      </c>
    </row>
    <row r="13" customFormat="false" ht="23.85" hidden="false" customHeight="false" outlineLevel="0" collapsed="false">
      <c r="A13" s="37" t="s">
        <v>429</v>
      </c>
      <c r="B13" s="37" t="s">
        <v>430</v>
      </c>
      <c r="C13" s="37" t="s">
        <v>431</v>
      </c>
      <c r="D13" s="50" t="n">
        <v>46384</v>
      </c>
      <c r="E13" s="38" t="s">
        <v>10</v>
      </c>
      <c r="F13" s="37" t="s">
        <v>432</v>
      </c>
      <c r="G13" s="37" t="s">
        <v>63</v>
      </c>
      <c r="H13" s="37" t="s">
        <v>433</v>
      </c>
      <c r="I13" s="37"/>
    </row>
    <row r="14" customFormat="false" ht="15" hidden="false" customHeight="false" outlineLevel="0" collapsed="false">
      <c r="A14" s="39" t="s">
        <v>434</v>
      </c>
      <c r="B14" s="39" t="s">
        <v>435</v>
      </c>
      <c r="C14" s="39" t="s">
        <v>404</v>
      </c>
      <c r="D14" s="49" t="n">
        <v>46328</v>
      </c>
      <c r="E14" s="40" t="s">
        <v>10</v>
      </c>
      <c r="F14" s="39" t="s">
        <v>436</v>
      </c>
      <c r="G14" s="39" t="s">
        <v>91</v>
      </c>
      <c r="H14" s="39" t="s">
        <v>437</v>
      </c>
      <c r="I14" s="39" t="s">
        <v>438</v>
      </c>
    </row>
    <row r="15" customFormat="false" ht="15" hidden="false" customHeight="false" outlineLevel="0" collapsed="false">
      <c r="A15" s="37" t="s">
        <v>439</v>
      </c>
      <c r="B15" s="37" t="s">
        <v>435</v>
      </c>
      <c r="C15" s="37" t="s">
        <v>404</v>
      </c>
      <c r="D15" s="50" t="n">
        <v>46370</v>
      </c>
      <c r="E15" s="38" t="s">
        <v>10</v>
      </c>
      <c r="F15" s="37" t="s">
        <v>436</v>
      </c>
      <c r="G15" s="37" t="s">
        <v>91</v>
      </c>
      <c r="H15" s="37" t="s">
        <v>437</v>
      </c>
      <c r="I15" s="37" t="s">
        <v>440</v>
      </c>
    </row>
    <row r="16" customFormat="false" ht="15" hidden="false" customHeight="false" outlineLevel="0" collapsed="false">
      <c r="A16" s="39" t="s">
        <v>441</v>
      </c>
      <c r="B16" s="39" t="s">
        <v>442</v>
      </c>
      <c r="C16" s="39" t="s">
        <v>443</v>
      </c>
      <c r="D16" s="49" t="n">
        <v>46349</v>
      </c>
      <c r="E16" s="40" t="s">
        <v>10</v>
      </c>
      <c r="F16" s="39" t="s">
        <v>444</v>
      </c>
      <c r="G16" s="39" t="s">
        <v>61</v>
      </c>
      <c r="H16" s="39" t="s">
        <v>445</v>
      </c>
      <c r="I16" s="39" t="s">
        <v>446</v>
      </c>
    </row>
    <row r="17" customFormat="false" ht="15" hidden="false" customHeight="false" outlineLevel="0" collapsed="false">
      <c r="A17" s="37" t="s">
        <v>447</v>
      </c>
      <c r="B17" s="37" t="s">
        <v>448</v>
      </c>
      <c r="C17" s="37" t="s">
        <v>449</v>
      </c>
      <c r="D17" s="50" t="n">
        <v>46349</v>
      </c>
      <c r="E17" s="38" t="s">
        <v>10</v>
      </c>
      <c r="F17" s="37" t="s">
        <v>450</v>
      </c>
      <c r="G17" s="37" t="s">
        <v>91</v>
      </c>
      <c r="H17" s="37" t="s">
        <v>451</v>
      </c>
      <c r="I17" s="37"/>
    </row>
    <row r="18" customFormat="false" ht="15" hidden="false" customHeight="false" outlineLevel="0" collapsed="false">
      <c r="A18" s="39" t="s">
        <v>452</v>
      </c>
      <c r="B18" s="39" t="s">
        <v>453</v>
      </c>
      <c r="C18" s="39" t="s">
        <v>404</v>
      </c>
      <c r="D18" s="49" t="n">
        <v>46370</v>
      </c>
      <c r="E18" s="40" t="s">
        <v>10</v>
      </c>
      <c r="F18" s="39" t="s">
        <v>450</v>
      </c>
      <c r="G18" s="39" t="s">
        <v>91</v>
      </c>
      <c r="H18" s="39" t="s">
        <v>454</v>
      </c>
      <c r="I18" s="39" t="s">
        <v>455</v>
      </c>
    </row>
    <row r="19" customFormat="false" ht="15" hidden="false" customHeight="false" outlineLevel="0" collapsed="false">
      <c r="A19" s="37" t="s">
        <v>456</v>
      </c>
      <c r="B19" s="37" t="s">
        <v>457</v>
      </c>
      <c r="C19" s="37" t="s">
        <v>458</v>
      </c>
      <c r="D19" s="50" t="n">
        <v>46328</v>
      </c>
      <c r="E19" s="38" t="s">
        <v>10</v>
      </c>
      <c r="F19" s="37" t="s">
        <v>459</v>
      </c>
      <c r="G19" s="37" t="s">
        <v>460</v>
      </c>
      <c r="H19" s="37" t="s">
        <v>461</v>
      </c>
      <c r="I19" s="37"/>
    </row>
    <row r="20" customFormat="false" ht="15" hidden="false" customHeight="false" outlineLevel="0" collapsed="false">
      <c r="A20" s="39" t="s">
        <v>462</v>
      </c>
      <c r="B20" s="39" t="s">
        <v>463</v>
      </c>
      <c r="C20" s="39" t="s">
        <v>464</v>
      </c>
      <c r="D20" s="49" t="n">
        <v>46454</v>
      </c>
      <c r="E20" s="40" t="s">
        <v>10</v>
      </c>
      <c r="F20" s="39" t="s">
        <v>465</v>
      </c>
      <c r="G20" s="39" t="s">
        <v>91</v>
      </c>
      <c r="H20" s="39" t="s">
        <v>466</v>
      </c>
      <c r="I20" s="39" t="s">
        <v>467</v>
      </c>
    </row>
    <row r="21" customFormat="false" ht="15" hidden="false" customHeight="false" outlineLevel="0" collapsed="false">
      <c r="A21" s="37" t="s">
        <v>468</v>
      </c>
      <c r="B21" s="37" t="s">
        <v>469</v>
      </c>
      <c r="C21" s="37" t="s">
        <v>470</v>
      </c>
      <c r="D21" s="50" t="n">
        <v>46496</v>
      </c>
      <c r="E21" s="38" t="s">
        <v>10</v>
      </c>
      <c r="F21" s="37" t="s">
        <v>471</v>
      </c>
      <c r="G21" s="37" t="s">
        <v>91</v>
      </c>
      <c r="H21" s="37" t="s">
        <v>472</v>
      </c>
      <c r="I21" s="37" t="s">
        <v>473</v>
      </c>
    </row>
  </sheetData>
  <conditionalFormatting sqref="E2:E21">
    <cfRule type="expression" priority="2" aboveAverage="0" equalAverage="0" bottom="0" percent="0" rank="0" text="" dxfId="12">
      <formula>$E2="Done"</formula>
    </cfRule>
    <cfRule type="expression" priority="3" aboveAverage="0" equalAverage="0" bottom="0" percent="0" rank="0" text="" dxfId="13">
      <formula>$E2="In Progress"</formula>
    </cfRule>
    <cfRule type="expression" priority="4" aboveAverage="0" equalAverage="0" bottom="0" percent="0" rank="0" text="" dxfId="14">
      <formula>$E2="Blocked"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42"/>
  </cols>
  <sheetData>
    <row r="1" customFormat="false" ht="24" hidden="false" customHeight="true" outlineLevel="0" collapsed="false">
      <c r="A1" s="4" t="s">
        <v>474</v>
      </c>
      <c r="B1" s="4" t="s">
        <v>81</v>
      </c>
      <c r="C1" s="4" t="s">
        <v>475</v>
      </c>
      <c r="D1" s="4" t="s">
        <v>66</v>
      </c>
      <c r="E1" s="4" t="s">
        <v>87</v>
      </c>
    </row>
    <row r="2" customFormat="false" ht="15" hidden="false" customHeight="false" outlineLevel="0" collapsed="false">
      <c r="A2" s="40" t="s">
        <v>316</v>
      </c>
      <c r="B2" s="39" t="s">
        <v>476</v>
      </c>
      <c r="C2" s="39" t="s">
        <v>477</v>
      </c>
      <c r="D2" s="40" t="s">
        <v>10</v>
      </c>
      <c r="E2" s="39" t="s">
        <v>478</v>
      </c>
    </row>
    <row r="3" customFormat="false" ht="15" hidden="false" customHeight="false" outlineLevel="0" collapsed="false">
      <c r="A3" s="38" t="s">
        <v>316</v>
      </c>
      <c r="B3" s="37" t="s">
        <v>476</v>
      </c>
      <c r="C3" s="37" t="s">
        <v>479</v>
      </c>
      <c r="D3" s="38" t="s">
        <v>10</v>
      </c>
      <c r="E3" s="37" t="s">
        <v>480</v>
      </c>
    </row>
    <row r="4" customFormat="false" ht="15" hidden="false" customHeight="false" outlineLevel="0" collapsed="false">
      <c r="A4" s="40" t="s">
        <v>316</v>
      </c>
      <c r="B4" s="39" t="s">
        <v>476</v>
      </c>
      <c r="C4" s="39" t="s">
        <v>481</v>
      </c>
      <c r="D4" s="40" t="s">
        <v>10</v>
      </c>
      <c r="E4" s="39" t="s">
        <v>482</v>
      </c>
    </row>
    <row r="5" customFormat="false" ht="15" hidden="false" customHeight="false" outlineLevel="0" collapsed="false">
      <c r="A5" s="38" t="s">
        <v>316</v>
      </c>
      <c r="B5" s="37" t="s">
        <v>483</v>
      </c>
      <c r="C5" s="37" t="s">
        <v>484</v>
      </c>
      <c r="D5" s="38" t="s">
        <v>10</v>
      </c>
      <c r="E5" s="37"/>
    </row>
    <row r="6" customFormat="false" ht="15" hidden="false" customHeight="false" outlineLevel="0" collapsed="false">
      <c r="A6" s="40" t="s">
        <v>316</v>
      </c>
      <c r="B6" s="39" t="s">
        <v>483</v>
      </c>
      <c r="C6" s="39" t="s">
        <v>485</v>
      </c>
      <c r="D6" s="40" t="s">
        <v>10</v>
      </c>
      <c r="E6" s="39"/>
    </row>
    <row r="7" customFormat="false" ht="15" hidden="false" customHeight="false" outlineLevel="0" collapsed="false">
      <c r="A7" s="38" t="s">
        <v>316</v>
      </c>
      <c r="B7" s="37" t="s">
        <v>483</v>
      </c>
      <c r="C7" s="37" t="s">
        <v>486</v>
      </c>
      <c r="D7" s="38" t="s">
        <v>10</v>
      </c>
      <c r="E7" s="37" t="s">
        <v>487</v>
      </c>
    </row>
    <row r="8" customFormat="false" ht="15" hidden="false" customHeight="false" outlineLevel="0" collapsed="false">
      <c r="A8" s="40" t="s">
        <v>316</v>
      </c>
      <c r="B8" s="39" t="s">
        <v>488</v>
      </c>
      <c r="C8" s="39" t="s">
        <v>489</v>
      </c>
      <c r="D8" s="40" t="s">
        <v>10</v>
      </c>
      <c r="E8" s="39" t="s">
        <v>490</v>
      </c>
    </row>
    <row r="9" customFormat="false" ht="15" hidden="false" customHeight="false" outlineLevel="0" collapsed="false">
      <c r="A9" s="38" t="s">
        <v>316</v>
      </c>
      <c r="B9" s="37" t="s">
        <v>488</v>
      </c>
      <c r="C9" s="37" t="s">
        <v>491</v>
      </c>
      <c r="D9" s="38" t="s">
        <v>10</v>
      </c>
      <c r="E9" s="37"/>
    </row>
    <row r="10" customFormat="false" ht="15" hidden="false" customHeight="false" outlineLevel="0" collapsed="false">
      <c r="A10" s="40" t="s">
        <v>316</v>
      </c>
      <c r="B10" s="39" t="s">
        <v>492</v>
      </c>
      <c r="C10" s="39" t="s">
        <v>493</v>
      </c>
      <c r="D10" s="40" t="s">
        <v>10</v>
      </c>
      <c r="E10" s="39"/>
    </row>
    <row r="11" customFormat="false" ht="15" hidden="false" customHeight="false" outlineLevel="0" collapsed="false">
      <c r="A11" s="38" t="s">
        <v>316</v>
      </c>
      <c r="B11" s="37" t="s">
        <v>492</v>
      </c>
      <c r="C11" s="37" t="s">
        <v>494</v>
      </c>
      <c r="D11" s="38" t="s">
        <v>10</v>
      </c>
      <c r="E11" s="37"/>
    </row>
    <row r="12" customFormat="false" ht="15" hidden="false" customHeight="false" outlineLevel="0" collapsed="false">
      <c r="A12" s="40" t="s">
        <v>316</v>
      </c>
      <c r="B12" s="39" t="s">
        <v>492</v>
      </c>
      <c r="C12" s="39" t="s">
        <v>495</v>
      </c>
      <c r="D12" s="40" t="s">
        <v>10</v>
      </c>
      <c r="E12" s="39" t="s">
        <v>496</v>
      </c>
    </row>
    <row r="13" customFormat="false" ht="15" hidden="false" customHeight="false" outlineLevel="0" collapsed="false">
      <c r="A13" s="38" t="s">
        <v>316</v>
      </c>
      <c r="B13" s="37" t="s">
        <v>492</v>
      </c>
      <c r="C13" s="37" t="s">
        <v>497</v>
      </c>
      <c r="D13" s="38" t="s">
        <v>10</v>
      </c>
      <c r="E13" s="37" t="s">
        <v>498</v>
      </c>
    </row>
    <row r="14" customFormat="false" ht="15" hidden="false" customHeight="false" outlineLevel="0" collapsed="false">
      <c r="A14" s="40" t="s">
        <v>316</v>
      </c>
      <c r="B14" s="39" t="s">
        <v>499</v>
      </c>
      <c r="C14" s="39" t="s">
        <v>500</v>
      </c>
      <c r="D14" s="40" t="s">
        <v>10</v>
      </c>
      <c r="E14" s="39"/>
    </row>
    <row r="15" customFormat="false" ht="15" hidden="false" customHeight="false" outlineLevel="0" collapsed="false">
      <c r="A15" s="38" t="s">
        <v>316</v>
      </c>
      <c r="B15" s="37" t="s">
        <v>501</v>
      </c>
      <c r="C15" s="37" t="s">
        <v>502</v>
      </c>
      <c r="D15" s="38" t="s">
        <v>10</v>
      </c>
      <c r="E15" s="37"/>
    </row>
    <row r="16" customFormat="false" ht="15" hidden="false" customHeight="false" outlineLevel="0" collapsed="false">
      <c r="A16" s="40" t="s">
        <v>316</v>
      </c>
      <c r="B16" s="39" t="s">
        <v>501</v>
      </c>
      <c r="C16" s="39" t="s">
        <v>503</v>
      </c>
      <c r="D16" s="40" t="s">
        <v>10</v>
      </c>
      <c r="E16" s="39"/>
    </row>
    <row r="17" customFormat="false" ht="15" hidden="false" customHeight="false" outlineLevel="0" collapsed="false">
      <c r="A17" s="38" t="s">
        <v>316</v>
      </c>
      <c r="B17" s="37" t="s">
        <v>501</v>
      </c>
      <c r="C17" s="37" t="s">
        <v>504</v>
      </c>
      <c r="D17" s="38" t="s">
        <v>10</v>
      </c>
      <c r="E17" s="37"/>
    </row>
    <row r="18" customFormat="false" ht="15" hidden="false" customHeight="false" outlineLevel="0" collapsed="false">
      <c r="A18" s="40" t="s">
        <v>316</v>
      </c>
      <c r="B18" s="39" t="s">
        <v>505</v>
      </c>
      <c r="C18" s="39" t="s">
        <v>506</v>
      </c>
      <c r="D18" s="40" t="s">
        <v>10</v>
      </c>
      <c r="E18" s="39"/>
    </row>
    <row r="19" customFormat="false" ht="15" hidden="false" customHeight="false" outlineLevel="0" collapsed="false">
      <c r="A19" s="38" t="s">
        <v>316</v>
      </c>
      <c r="B19" s="37" t="s">
        <v>505</v>
      </c>
      <c r="C19" s="37" t="s">
        <v>507</v>
      </c>
      <c r="D19" s="38" t="s">
        <v>10</v>
      </c>
      <c r="E19" s="37"/>
    </row>
    <row r="20" customFormat="false" ht="15" hidden="false" customHeight="false" outlineLevel="0" collapsed="false">
      <c r="A20" s="40" t="s">
        <v>326</v>
      </c>
      <c r="B20" s="39" t="s">
        <v>476</v>
      </c>
      <c r="C20" s="39" t="s">
        <v>508</v>
      </c>
      <c r="D20" s="40" t="s">
        <v>10</v>
      </c>
      <c r="E20" s="39" t="s">
        <v>509</v>
      </c>
    </row>
    <row r="21" customFormat="false" ht="15" hidden="false" customHeight="false" outlineLevel="0" collapsed="false">
      <c r="A21" s="38" t="s">
        <v>326</v>
      </c>
      <c r="B21" s="37" t="s">
        <v>476</v>
      </c>
      <c r="C21" s="37" t="s">
        <v>510</v>
      </c>
      <c r="D21" s="38" t="s">
        <v>10</v>
      </c>
      <c r="E21" s="37" t="s">
        <v>511</v>
      </c>
    </row>
    <row r="22" customFormat="false" ht="15" hidden="false" customHeight="false" outlineLevel="0" collapsed="false">
      <c r="A22" s="40" t="s">
        <v>326</v>
      </c>
      <c r="B22" s="39" t="s">
        <v>483</v>
      </c>
      <c r="C22" s="39" t="s">
        <v>512</v>
      </c>
      <c r="D22" s="40" t="s">
        <v>10</v>
      </c>
      <c r="E22" s="39" t="s">
        <v>513</v>
      </c>
    </row>
    <row r="23" customFormat="false" ht="15" hidden="false" customHeight="false" outlineLevel="0" collapsed="false">
      <c r="A23" s="38" t="s">
        <v>326</v>
      </c>
      <c r="B23" s="37" t="s">
        <v>483</v>
      </c>
      <c r="C23" s="37" t="s">
        <v>514</v>
      </c>
      <c r="D23" s="38" t="s">
        <v>10</v>
      </c>
      <c r="E23" s="37"/>
    </row>
    <row r="24" customFormat="false" ht="15" hidden="false" customHeight="false" outlineLevel="0" collapsed="false">
      <c r="A24" s="40" t="s">
        <v>326</v>
      </c>
      <c r="B24" s="39" t="s">
        <v>483</v>
      </c>
      <c r="C24" s="39" t="s">
        <v>515</v>
      </c>
      <c r="D24" s="40" t="s">
        <v>10</v>
      </c>
      <c r="E24" s="39"/>
    </row>
    <row r="25" customFormat="false" ht="15" hidden="false" customHeight="false" outlineLevel="0" collapsed="false">
      <c r="A25" s="38" t="s">
        <v>326</v>
      </c>
      <c r="B25" s="37" t="s">
        <v>483</v>
      </c>
      <c r="C25" s="37" t="s">
        <v>516</v>
      </c>
      <c r="D25" s="38" t="s">
        <v>10</v>
      </c>
      <c r="E25" s="37"/>
    </row>
    <row r="26" customFormat="false" ht="15" hidden="false" customHeight="false" outlineLevel="0" collapsed="false">
      <c r="A26" s="40" t="s">
        <v>326</v>
      </c>
      <c r="B26" s="39" t="s">
        <v>488</v>
      </c>
      <c r="C26" s="39" t="s">
        <v>517</v>
      </c>
      <c r="D26" s="40" t="s">
        <v>10</v>
      </c>
      <c r="E26" s="39" t="s">
        <v>490</v>
      </c>
    </row>
    <row r="27" customFormat="false" ht="15" hidden="false" customHeight="false" outlineLevel="0" collapsed="false">
      <c r="A27" s="38" t="s">
        <v>326</v>
      </c>
      <c r="B27" s="37" t="s">
        <v>518</v>
      </c>
      <c r="C27" s="37" t="s">
        <v>519</v>
      </c>
      <c r="D27" s="38" t="s">
        <v>10</v>
      </c>
      <c r="E27" s="37"/>
    </row>
    <row r="28" customFormat="false" ht="15" hidden="false" customHeight="false" outlineLevel="0" collapsed="false">
      <c r="A28" s="40" t="s">
        <v>326</v>
      </c>
      <c r="B28" s="39" t="s">
        <v>518</v>
      </c>
      <c r="C28" s="39" t="s">
        <v>520</v>
      </c>
      <c r="D28" s="40" t="s">
        <v>10</v>
      </c>
      <c r="E28" s="39"/>
    </row>
    <row r="29" customFormat="false" ht="15" hidden="false" customHeight="false" outlineLevel="0" collapsed="false">
      <c r="A29" s="38" t="s">
        <v>326</v>
      </c>
      <c r="B29" s="37" t="s">
        <v>518</v>
      </c>
      <c r="C29" s="37" t="s">
        <v>521</v>
      </c>
      <c r="D29" s="38" t="s">
        <v>10</v>
      </c>
      <c r="E29" s="37"/>
    </row>
    <row r="30" customFormat="false" ht="15" hidden="false" customHeight="false" outlineLevel="0" collapsed="false">
      <c r="A30" s="40" t="s">
        <v>326</v>
      </c>
      <c r="B30" s="39" t="s">
        <v>518</v>
      </c>
      <c r="C30" s="39" t="s">
        <v>522</v>
      </c>
      <c r="D30" s="40" t="s">
        <v>10</v>
      </c>
      <c r="E30" s="39"/>
    </row>
    <row r="31" customFormat="false" ht="15" hidden="false" customHeight="false" outlineLevel="0" collapsed="false">
      <c r="A31" s="38" t="s">
        <v>326</v>
      </c>
      <c r="B31" s="37" t="s">
        <v>499</v>
      </c>
      <c r="C31" s="37" t="s">
        <v>523</v>
      </c>
      <c r="D31" s="38" t="s">
        <v>10</v>
      </c>
      <c r="E31" s="37"/>
    </row>
    <row r="32" customFormat="false" ht="15" hidden="false" customHeight="false" outlineLevel="0" collapsed="false">
      <c r="A32" s="40" t="s">
        <v>326</v>
      </c>
      <c r="B32" s="39" t="s">
        <v>501</v>
      </c>
      <c r="C32" s="39" t="s">
        <v>524</v>
      </c>
      <c r="D32" s="40" t="s">
        <v>10</v>
      </c>
      <c r="E32" s="39"/>
    </row>
    <row r="33" customFormat="false" ht="15" hidden="false" customHeight="false" outlineLevel="0" collapsed="false">
      <c r="A33" s="38" t="s">
        <v>326</v>
      </c>
      <c r="B33" s="37" t="s">
        <v>501</v>
      </c>
      <c r="C33" s="37" t="s">
        <v>525</v>
      </c>
      <c r="D33" s="38" t="s">
        <v>10</v>
      </c>
      <c r="E33" s="37"/>
    </row>
    <row r="34" customFormat="false" ht="15" hidden="false" customHeight="false" outlineLevel="0" collapsed="false">
      <c r="A34" s="40" t="s">
        <v>326</v>
      </c>
      <c r="B34" s="39" t="s">
        <v>501</v>
      </c>
      <c r="C34" s="39" t="s">
        <v>526</v>
      </c>
      <c r="D34" s="40" t="s">
        <v>10</v>
      </c>
      <c r="E34" s="39"/>
    </row>
    <row r="35" customFormat="false" ht="15" hidden="false" customHeight="false" outlineLevel="0" collapsed="false">
      <c r="A35" s="38" t="s">
        <v>326</v>
      </c>
      <c r="B35" s="37" t="s">
        <v>505</v>
      </c>
      <c r="C35" s="37" t="s">
        <v>527</v>
      </c>
      <c r="D35" s="38" t="s">
        <v>10</v>
      </c>
      <c r="E35" s="37"/>
    </row>
  </sheetData>
  <conditionalFormatting sqref="D2:D35">
    <cfRule type="expression" priority="2" aboveAverage="0" equalAverage="0" bottom="0" percent="0" rank="0" text="" dxfId="12">
      <formula>$D2="Done"</formula>
    </cfRule>
    <cfRule type="expression" priority="3" aboveAverage="0" equalAverage="0" bottom="0" percent="0" rank="0" text="" dxfId="13">
      <formula>$D2="In Progress"</formula>
    </cfRule>
    <cfRule type="expression" priority="4" aboveAverage="0" equalAverage="0" bottom="0" percent="0" rank="0" text="" dxfId="14">
      <formula>$D2="Blocked"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4" hidden="false" customHeight="true" outlineLevel="0" collapsed="false">
      <c r="A1" s="4" t="s">
        <v>528</v>
      </c>
      <c r="B1" s="4" t="s">
        <v>529</v>
      </c>
      <c r="C1" s="4" t="s">
        <v>530</v>
      </c>
      <c r="D1" s="4" t="s">
        <v>531</v>
      </c>
      <c r="E1" s="4" t="s">
        <v>532</v>
      </c>
      <c r="F1" s="4" t="s">
        <v>83</v>
      </c>
      <c r="G1" s="4" t="s">
        <v>66</v>
      </c>
      <c r="H1" s="4" t="s">
        <v>533</v>
      </c>
    </row>
    <row r="2" customFormat="false" ht="23.85" hidden="false" customHeight="false" outlineLevel="0" collapsed="false">
      <c r="A2" s="40" t="s">
        <v>534</v>
      </c>
      <c r="B2" s="39" t="s">
        <v>535</v>
      </c>
      <c r="C2" s="40" t="s">
        <v>536</v>
      </c>
      <c r="D2" s="40" t="s">
        <v>537</v>
      </c>
      <c r="E2" s="39" t="s">
        <v>538</v>
      </c>
      <c r="F2" s="39" t="s">
        <v>91</v>
      </c>
      <c r="G2" s="40" t="s">
        <v>539</v>
      </c>
      <c r="H2" s="49" t="n">
        <v>46354</v>
      </c>
    </row>
    <row r="3" customFormat="false" ht="23.85" hidden="false" customHeight="false" outlineLevel="0" collapsed="false">
      <c r="A3" s="38" t="s">
        <v>540</v>
      </c>
      <c r="B3" s="37" t="s">
        <v>541</v>
      </c>
      <c r="C3" s="38" t="s">
        <v>542</v>
      </c>
      <c r="D3" s="38" t="s">
        <v>537</v>
      </c>
      <c r="E3" s="37" t="s">
        <v>543</v>
      </c>
      <c r="F3" s="37" t="s">
        <v>91</v>
      </c>
      <c r="G3" s="38" t="s">
        <v>539</v>
      </c>
      <c r="H3" s="50" t="n">
        <v>46354</v>
      </c>
    </row>
    <row r="4" customFormat="false" ht="23.85" hidden="false" customHeight="false" outlineLevel="0" collapsed="false">
      <c r="A4" s="40" t="s">
        <v>544</v>
      </c>
      <c r="B4" s="39" t="s">
        <v>545</v>
      </c>
      <c r="C4" s="40" t="s">
        <v>536</v>
      </c>
      <c r="D4" s="40" t="s">
        <v>546</v>
      </c>
      <c r="E4" s="39" t="s">
        <v>547</v>
      </c>
      <c r="F4" s="39" t="s">
        <v>91</v>
      </c>
      <c r="G4" s="40" t="s">
        <v>539</v>
      </c>
      <c r="H4" s="49" t="n">
        <v>46294</v>
      </c>
    </row>
    <row r="5" customFormat="false" ht="23.85" hidden="false" customHeight="false" outlineLevel="0" collapsed="false">
      <c r="A5" s="38" t="s">
        <v>548</v>
      </c>
      <c r="B5" s="37" t="s">
        <v>549</v>
      </c>
      <c r="C5" s="38" t="s">
        <v>542</v>
      </c>
      <c r="D5" s="38" t="s">
        <v>536</v>
      </c>
      <c r="E5" s="37" t="s">
        <v>550</v>
      </c>
      <c r="F5" s="37" t="s">
        <v>91</v>
      </c>
      <c r="G5" s="38" t="s">
        <v>539</v>
      </c>
      <c r="H5" s="50" t="n">
        <v>46384</v>
      </c>
    </row>
    <row r="6" customFormat="false" ht="23.85" hidden="false" customHeight="false" outlineLevel="0" collapsed="false">
      <c r="A6" s="40" t="s">
        <v>551</v>
      </c>
      <c r="B6" s="39" t="s">
        <v>552</v>
      </c>
      <c r="C6" s="40" t="s">
        <v>553</v>
      </c>
      <c r="D6" s="40" t="s">
        <v>537</v>
      </c>
      <c r="E6" s="39" t="s">
        <v>554</v>
      </c>
      <c r="F6" s="39" t="s">
        <v>61</v>
      </c>
      <c r="G6" s="40" t="s">
        <v>539</v>
      </c>
      <c r="H6" s="49" t="n">
        <v>46354</v>
      </c>
    </row>
    <row r="7" customFormat="false" ht="23.85" hidden="false" customHeight="false" outlineLevel="0" collapsed="false">
      <c r="A7" s="38" t="s">
        <v>555</v>
      </c>
      <c r="B7" s="37" t="s">
        <v>556</v>
      </c>
      <c r="C7" s="38" t="s">
        <v>542</v>
      </c>
      <c r="D7" s="38" t="s">
        <v>546</v>
      </c>
      <c r="E7" s="37" t="s">
        <v>557</v>
      </c>
      <c r="F7" s="37" t="s">
        <v>91</v>
      </c>
      <c r="G7" s="38" t="s">
        <v>539</v>
      </c>
      <c r="H7" s="50" t="n">
        <v>46294</v>
      </c>
    </row>
    <row r="8" customFormat="false" ht="23.85" hidden="false" customHeight="false" outlineLevel="0" collapsed="false">
      <c r="A8" s="40" t="s">
        <v>558</v>
      </c>
      <c r="B8" s="39" t="s">
        <v>559</v>
      </c>
      <c r="C8" s="40" t="s">
        <v>560</v>
      </c>
      <c r="D8" s="40" t="s">
        <v>546</v>
      </c>
      <c r="E8" s="39" t="s">
        <v>561</v>
      </c>
      <c r="F8" s="39" t="s">
        <v>91</v>
      </c>
      <c r="G8" s="40" t="s">
        <v>539</v>
      </c>
      <c r="H8" s="49" t="n">
        <v>46414</v>
      </c>
    </row>
    <row r="9" customFormat="false" ht="23.85" hidden="false" customHeight="false" outlineLevel="0" collapsed="false">
      <c r="A9" s="38" t="s">
        <v>562</v>
      </c>
      <c r="B9" s="37" t="s">
        <v>563</v>
      </c>
      <c r="C9" s="38" t="s">
        <v>542</v>
      </c>
      <c r="D9" s="38" t="s">
        <v>546</v>
      </c>
      <c r="E9" s="37" t="s">
        <v>564</v>
      </c>
      <c r="F9" s="37" t="s">
        <v>91</v>
      </c>
      <c r="G9" s="38" t="s">
        <v>539</v>
      </c>
      <c r="H9" s="50" t="n">
        <v>46324</v>
      </c>
    </row>
    <row r="10" customFormat="false" ht="23.85" hidden="false" customHeight="false" outlineLevel="0" collapsed="false">
      <c r="A10" s="40" t="s">
        <v>565</v>
      </c>
      <c r="B10" s="39" t="s">
        <v>566</v>
      </c>
      <c r="C10" s="40" t="s">
        <v>542</v>
      </c>
      <c r="D10" s="40" t="s">
        <v>536</v>
      </c>
      <c r="E10" s="39" t="s">
        <v>567</v>
      </c>
      <c r="F10" s="39" t="s">
        <v>91</v>
      </c>
      <c r="G10" s="40" t="s">
        <v>539</v>
      </c>
      <c r="H10" s="49" t="n">
        <v>46384</v>
      </c>
    </row>
    <row r="11" customFormat="false" ht="23.85" hidden="false" customHeight="false" outlineLevel="0" collapsed="false">
      <c r="A11" s="38" t="s">
        <v>568</v>
      </c>
      <c r="B11" s="37" t="s">
        <v>569</v>
      </c>
      <c r="C11" s="38" t="s">
        <v>553</v>
      </c>
      <c r="D11" s="38" t="s">
        <v>537</v>
      </c>
      <c r="E11" s="37" t="s">
        <v>570</v>
      </c>
      <c r="F11" s="37" t="s">
        <v>91</v>
      </c>
      <c r="G11" s="38" t="s">
        <v>539</v>
      </c>
      <c r="H11" s="50" t="n">
        <v>46444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1.75" hidden="false" customHeight="true" outlineLevel="0" collapsed="false">
      <c r="A1" s="51" t="s">
        <v>0</v>
      </c>
    </row>
    <row r="2" customFormat="false" ht="21.75" hidden="false" customHeight="true" outlineLevel="0" collapsed="false">
      <c r="A2" s="52"/>
    </row>
    <row r="3" customFormat="false" ht="21.75" hidden="false" customHeight="true" outlineLevel="0" collapsed="false">
      <c r="A3" s="53" t="s">
        <v>571</v>
      </c>
    </row>
    <row r="4" customFormat="false" ht="21.75" hidden="false" customHeight="true" outlineLevel="0" collapsed="false">
      <c r="A4" s="52"/>
    </row>
    <row r="5" customFormat="false" ht="21.75" hidden="false" customHeight="true" outlineLevel="0" collapsed="false">
      <c r="A5" s="41" t="s">
        <v>572</v>
      </c>
    </row>
    <row r="6" customFormat="false" ht="21.75" hidden="false" customHeight="true" outlineLevel="0" collapsed="false">
      <c r="A6" s="41" t="s">
        <v>573</v>
      </c>
    </row>
    <row r="7" customFormat="false" ht="21.75" hidden="false" customHeight="true" outlineLevel="0" collapsed="false">
      <c r="A7" s="41" t="s">
        <v>574</v>
      </c>
    </row>
    <row r="8" customFormat="false" ht="21.75" hidden="false" customHeight="true" outlineLevel="0" collapsed="false">
      <c r="A8" s="41" t="s">
        <v>575</v>
      </c>
    </row>
    <row r="9" customFormat="false" ht="21.75" hidden="false" customHeight="true" outlineLevel="0" collapsed="false">
      <c r="A9" s="41" t="s">
        <v>576</v>
      </c>
    </row>
    <row r="10" customFormat="false" ht="21.75" hidden="false" customHeight="true" outlineLevel="0" collapsed="false">
      <c r="A10" s="52"/>
    </row>
    <row r="11" customFormat="false" ht="21.75" hidden="false" customHeight="true" outlineLevel="0" collapsed="false">
      <c r="A11" s="53" t="s">
        <v>577</v>
      </c>
    </row>
    <row r="12" customFormat="false" ht="21.75" hidden="false" customHeight="true" outlineLevel="0" collapsed="false">
      <c r="A12" s="41" t="s">
        <v>578</v>
      </c>
    </row>
    <row r="13" customFormat="false" ht="21.75" hidden="false" customHeight="true" outlineLevel="0" collapsed="false">
      <c r="A13" s="52"/>
    </row>
    <row r="14" customFormat="false" ht="21.75" hidden="false" customHeight="true" outlineLevel="0" collapsed="false">
      <c r="A14" s="53" t="s">
        <v>579</v>
      </c>
    </row>
    <row r="15" customFormat="false" ht="21.75" hidden="false" customHeight="true" outlineLevel="0" collapsed="false">
      <c r="A15" s="54" t="s">
        <v>580</v>
      </c>
    </row>
    <row r="16" customFormat="false" ht="21.75" hidden="false" customHeight="true" outlineLevel="0" collapsed="false">
      <c r="A16" s="55" t="s">
        <v>581</v>
      </c>
    </row>
    <row r="17" customFormat="false" ht="21.75" hidden="false" customHeight="true" outlineLevel="0" collapsed="false">
      <c r="A17" s="56" t="s">
        <v>582</v>
      </c>
    </row>
    <row r="18" customFormat="false" ht="21.75" hidden="false" customHeight="true" outlineLevel="0" collapsed="false">
      <c r="A18" s="57" t="s">
        <v>583</v>
      </c>
    </row>
    <row r="19" customFormat="false" ht="21.75" hidden="false" customHeight="true" outlineLevel="0" collapsed="false">
      <c r="A19" s="58" t="s">
        <v>584</v>
      </c>
    </row>
    <row r="20" customFormat="false" ht="21.75" hidden="false" customHeight="true" outlineLevel="0" collapsed="false">
      <c r="A20" s="59" t="s">
        <v>585</v>
      </c>
    </row>
    <row r="21" customFormat="false" ht="21.75" hidden="false" customHeight="true" outlineLevel="0" collapsed="false">
      <c r="A21" s="60" t="s">
        <v>586</v>
      </c>
    </row>
    <row r="22" customFormat="false" ht="21.75" hidden="false" customHeight="true" outlineLevel="0" collapsed="false">
      <c r="A22" s="52"/>
    </row>
    <row r="23" customFormat="false" ht="21.75" hidden="false" customHeight="true" outlineLevel="0" collapsed="false">
      <c r="A23" s="53" t="s">
        <v>587</v>
      </c>
    </row>
    <row r="24" customFormat="false" ht="21.75" hidden="false" customHeight="true" outlineLevel="0" collapsed="false">
      <c r="A24" s="41" t="s">
        <v>588</v>
      </c>
    </row>
    <row r="25" customFormat="false" ht="21.75" hidden="false" customHeight="true" outlineLevel="0" collapsed="false">
      <c r="A25" s="41" t="s">
        <v>589</v>
      </c>
    </row>
    <row r="26" customFormat="false" ht="21.75" hidden="false" customHeight="true" outlineLevel="0" collapsed="false">
      <c r="A26" s="41" t="s">
        <v>590</v>
      </c>
    </row>
    <row r="27" customFormat="false" ht="21.75" hidden="false" customHeight="true" outlineLevel="0" collapsed="false">
      <c r="A27" s="52"/>
    </row>
    <row r="28" customFormat="false" ht="21.75" hidden="false" customHeight="true" outlineLevel="0" collapsed="false">
      <c r="A28" s="53" t="s">
        <v>591</v>
      </c>
    </row>
    <row r="29" customFormat="false" ht="21.75" hidden="false" customHeight="true" outlineLevel="0" collapsed="false">
      <c r="A29" s="41" t="s">
        <v>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2026-05-31T14:39:47Z</dcterms:created>
  <dc:creator>openpyxl</dc:creator>
  <dc:description/>
  <dc:language>en-US</dc:language>
  <cp:lastModifiedBy/>
  <dcterms:modified xsi:type="dcterms:W3CDTF">2026-05-31T14:39:47Z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